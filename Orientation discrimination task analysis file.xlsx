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RP\OneDrive\Desktop\Psychology Experiments\data\"/>
    </mc:Choice>
  </mc:AlternateContent>
  <xr:revisionPtr revIDLastSave="0" documentId="13_ncr:1_{B02635AD-31D4-4C83-9447-64C2A0814ED8}" xr6:coauthVersionLast="47" xr6:coauthVersionMax="47" xr10:uidLastSave="{00000000-0000-0000-0000-000000000000}"/>
  <bookViews>
    <workbookView xWindow="-108" yWindow="-108" windowWidth="23256" windowHeight="12456" xr2:uid="{9F11D420-78C1-48DA-A0D0-AA3D765B38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1" l="1"/>
  <c r="F102" i="1"/>
  <c r="E102" i="1"/>
  <c r="D102" i="1"/>
  <c r="N1" i="1" l="1"/>
  <c r="N3" i="1" s="1"/>
  <c r="N2" i="1"/>
  <c r="N4" i="1" l="1"/>
</calcChain>
</file>

<file path=xl/sharedStrings.xml><?xml version="1.0" encoding="utf-8"?>
<sst xmlns="http://schemas.openxmlformats.org/spreadsheetml/2006/main" count="118" uniqueCount="20">
  <si>
    <t>key_resp.keys</t>
  </si>
  <si>
    <t>key_resp.corr</t>
  </si>
  <si>
    <t>tilt</t>
  </si>
  <si>
    <t>up</t>
  </si>
  <si>
    <t>down</t>
  </si>
  <si>
    <t>Hit</t>
  </si>
  <si>
    <t>Miss</t>
  </si>
  <si>
    <t>False Alarm</t>
  </si>
  <si>
    <t>Correct Rejection</t>
  </si>
  <si>
    <t>Signal present</t>
  </si>
  <si>
    <t>Signal absent</t>
  </si>
  <si>
    <t>Respond YES</t>
  </si>
  <si>
    <t xml:space="preserve">Respond NO </t>
  </si>
  <si>
    <t xml:space="preserve">Prop. false alarm </t>
  </si>
  <si>
    <t>Prop. hit</t>
  </si>
  <si>
    <t>D prime</t>
  </si>
  <si>
    <t>criterion</t>
  </si>
  <si>
    <t>Sum of their responses</t>
  </si>
  <si>
    <t>thisN</t>
  </si>
  <si>
    <t xml:space="preserve">Sum of responses under 4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</si>
</sst>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1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i="1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Distribution</a:t>
            </a:r>
            <a:r>
              <a:rPr lang="en-IN" i="1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responses in Signal Present vs Signal Absent Trials</a:t>
            </a:r>
            <a:endParaRPr lang="en-IN" i="1">
              <a:solidFill>
                <a:schemeClr val="bg2">
                  <a:lumMod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Respond 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23-41AA-A551-E29812B0A6BD}"/>
              </c:ext>
            </c:extLst>
          </c:dPt>
          <c:cat>
            <c:strRef>
              <c:f>Sheet1!$I$2:$I$3</c:f>
              <c:strCache>
                <c:ptCount val="2"/>
                <c:pt idx="0">
                  <c:v>Signal present</c:v>
                </c:pt>
                <c:pt idx="1">
                  <c:v>Signal absent</c:v>
                </c:pt>
              </c:strCache>
            </c:strRef>
          </c:cat>
          <c:val>
            <c:numRef>
              <c:f>Sheet1!$J$2:$J$3</c:f>
              <c:numCache>
                <c:formatCode>General</c:formatCode>
                <c:ptCount val="2"/>
                <c:pt idx="0">
                  <c:v>38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3-41AA-A551-E29812B0A6BD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Respond NO </c:v>
                </c:pt>
              </c:strCache>
            </c:strRef>
          </c:tx>
          <c:spPr>
            <a:solidFill>
              <a:srgbClr val="FFA12F"/>
            </a:solidFill>
            <a:ln>
              <a:noFill/>
            </a:ln>
            <a:effectLst/>
          </c:spPr>
          <c:invertIfNegative val="0"/>
          <c:cat>
            <c:strRef>
              <c:f>Sheet1!$I$2:$I$3</c:f>
              <c:strCache>
                <c:ptCount val="2"/>
                <c:pt idx="0">
                  <c:v>Signal present</c:v>
                </c:pt>
                <c:pt idx="1">
                  <c:v>Signal absent</c:v>
                </c:pt>
              </c:strCache>
            </c:strRef>
          </c:cat>
          <c:val>
            <c:numRef>
              <c:f>Sheet1!$K$2:$K$3</c:f>
              <c:numCache>
                <c:formatCode>General</c:formatCode>
                <c:ptCount val="2"/>
                <c:pt idx="0">
                  <c:v>18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3-41AA-A551-E29812B0A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95487"/>
        <c:axId val="50401727"/>
      </c:barChart>
      <c:catAx>
        <c:axId val="50395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1727"/>
        <c:crosses val="autoZero"/>
        <c:auto val="1"/>
        <c:lblAlgn val="ctr"/>
        <c:lblOffset val="100"/>
        <c:noMultiLvlLbl val="0"/>
      </c:catAx>
      <c:valAx>
        <c:axId val="504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IN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Tr</a:t>
                </a:r>
                <a:r>
                  <a:rPr lang="en-IN" i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IN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als</a:t>
                </a:r>
                <a:endParaRPr lang="en-I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179070</xdr:rowOff>
    </xdr:from>
    <xdr:to>
      <xdr:col>16</xdr:col>
      <xdr:colOff>304800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BD107-0063-D412-4905-3DFF1D081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CF1B-96DF-4D66-88BD-E6C66D37E9BB}">
  <dimension ref="A1:P102"/>
  <sheetViews>
    <sheetView tabSelected="1" topLeftCell="B1" workbookViewId="0">
      <selection activeCell="I18" sqref="I18"/>
    </sheetView>
  </sheetViews>
  <sheetFormatPr defaultRowHeight="14.4" x14ac:dyDescent="0.3"/>
  <sheetData>
    <row r="1" spans="1:16" x14ac:dyDescent="0.3">
      <c r="A1" t="s">
        <v>18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J1" t="s">
        <v>11</v>
      </c>
      <c r="K1" t="s">
        <v>12</v>
      </c>
      <c r="M1" t="s">
        <v>14</v>
      </c>
      <c r="N1">
        <f>D102/(D102+E102)</f>
        <v>0.6333333333333333</v>
      </c>
      <c r="P1" t="s">
        <v>19</v>
      </c>
    </row>
    <row r="2" spans="1:16" x14ac:dyDescent="0.3">
      <c r="A2">
        <v>0</v>
      </c>
      <c r="B2" t="s">
        <v>3</v>
      </c>
      <c r="C2">
        <v>0</v>
      </c>
      <c r="D2">
        <v>0</v>
      </c>
      <c r="E2">
        <v>1</v>
      </c>
      <c r="I2" t="s">
        <v>9</v>
      </c>
      <c r="J2">
        <v>38</v>
      </c>
      <c r="K2">
        <v>18</v>
      </c>
      <c r="M2" t="s">
        <v>13</v>
      </c>
      <c r="N2">
        <f>F102/(F102+G102)</f>
        <v>0.45</v>
      </c>
      <c r="P2">
        <v>38</v>
      </c>
    </row>
    <row r="3" spans="1:16" x14ac:dyDescent="0.3">
      <c r="A3">
        <v>1</v>
      </c>
      <c r="B3" t="s">
        <v>3</v>
      </c>
      <c r="C3">
        <v>1</v>
      </c>
      <c r="D3">
        <v>0</v>
      </c>
      <c r="E3">
        <v>1</v>
      </c>
      <c r="I3" t="s">
        <v>10</v>
      </c>
      <c r="J3">
        <v>22</v>
      </c>
      <c r="K3">
        <v>22</v>
      </c>
      <c r="M3" t="s">
        <v>15</v>
      </c>
      <c r="N3">
        <f>NORMSINV(N1) - NORMSINV(N2)</f>
        <v>0.46635617394286943</v>
      </c>
      <c r="P3">
        <v>18</v>
      </c>
    </row>
    <row r="4" spans="1:16" x14ac:dyDescent="0.3">
      <c r="A4">
        <v>2</v>
      </c>
      <c r="B4" t="s">
        <v>4</v>
      </c>
      <c r="C4">
        <v>1</v>
      </c>
      <c r="D4">
        <v>-5</v>
      </c>
      <c r="H4">
        <v>1</v>
      </c>
      <c r="M4" t="s">
        <v>16</v>
      </c>
      <c r="N4">
        <f>-NORMSINV(N1) + NORMSINV(N2)/2</f>
        <v>-0.40352550051533242</v>
      </c>
      <c r="P4">
        <v>22</v>
      </c>
    </row>
    <row r="5" spans="1:16" x14ac:dyDescent="0.3">
      <c r="A5">
        <v>3</v>
      </c>
      <c r="B5" t="s">
        <v>3</v>
      </c>
      <c r="C5">
        <v>1</v>
      </c>
      <c r="D5">
        <v>0</v>
      </c>
      <c r="E5">
        <v>1</v>
      </c>
      <c r="P5">
        <v>22</v>
      </c>
    </row>
    <row r="6" spans="1:16" x14ac:dyDescent="0.3">
      <c r="A6">
        <v>4</v>
      </c>
      <c r="B6" t="s">
        <v>3</v>
      </c>
      <c r="C6">
        <v>1</v>
      </c>
      <c r="D6">
        <v>0</v>
      </c>
      <c r="E6">
        <v>1</v>
      </c>
    </row>
    <row r="7" spans="1:16" x14ac:dyDescent="0.3">
      <c r="A7">
        <v>5</v>
      </c>
      <c r="B7" t="s">
        <v>3</v>
      </c>
      <c r="C7">
        <v>1</v>
      </c>
      <c r="D7">
        <v>0</v>
      </c>
      <c r="E7">
        <v>1</v>
      </c>
    </row>
    <row r="8" spans="1:16" x14ac:dyDescent="0.3">
      <c r="A8">
        <v>6</v>
      </c>
      <c r="B8" t="s">
        <v>4</v>
      </c>
      <c r="C8">
        <v>1</v>
      </c>
      <c r="D8">
        <v>-3</v>
      </c>
      <c r="H8">
        <v>1</v>
      </c>
    </row>
    <row r="9" spans="1:16" x14ac:dyDescent="0.3">
      <c r="A9">
        <v>7</v>
      </c>
      <c r="B9" t="s">
        <v>4</v>
      </c>
      <c r="C9">
        <v>0</v>
      </c>
      <c r="D9">
        <v>0</v>
      </c>
      <c r="E9">
        <v>1</v>
      </c>
      <c r="F9">
        <v>1</v>
      </c>
    </row>
    <row r="10" spans="1:16" x14ac:dyDescent="0.3">
      <c r="A10">
        <v>8</v>
      </c>
      <c r="B10" t="s">
        <v>3</v>
      </c>
      <c r="C10">
        <v>1</v>
      </c>
      <c r="D10">
        <v>0</v>
      </c>
      <c r="E10">
        <v>1</v>
      </c>
    </row>
    <row r="11" spans="1:16" x14ac:dyDescent="0.3">
      <c r="A11">
        <v>9</v>
      </c>
      <c r="B11" t="s">
        <v>3</v>
      </c>
      <c r="C11">
        <v>1</v>
      </c>
      <c r="D11">
        <v>0</v>
      </c>
      <c r="E11">
        <v>1</v>
      </c>
    </row>
    <row r="12" spans="1:16" x14ac:dyDescent="0.3">
      <c r="A12">
        <v>10</v>
      </c>
      <c r="B12" t="s">
        <v>4</v>
      </c>
      <c r="C12">
        <v>1</v>
      </c>
      <c r="D12">
        <v>-4</v>
      </c>
      <c r="H12">
        <v>1</v>
      </c>
    </row>
    <row r="13" spans="1:16" x14ac:dyDescent="0.3">
      <c r="A13">
        <v>11</v>
      </c>
      <c r="B13" t="s">
        <v>3</v>
      </c>
      <c r="C13">
        <v>1</v>
      </c>
      <c r="D13">
        <v>0</v>
      </c>
      <c r="E13">
        <v>1</v>
      </c>
    </row>
    <row r="14" spans="1:16" x14ac:dyDescent="0.3">
      <c r="A14">
        <v>12</v>
      </c>
      <c r="B14" t="s">
        <v>3</v>
      </c>
      <c r="C14">
        <v>0</v>
      </c>
      <c r="D14">
        <v>-1</v>
      </c>
      <c r="G14">
        <v>1</v>
      </c>
    </row>
    <row r="15" spans="1:16" x14ac:dyDescent="0.3">
      <c r="A15">
        <v>13</v>
      </c>
      <c r="B15" t="s">
        <v>3</v>
      </c>
      <c r="C15">
        <v>1</v>
      </c>
      <c r="D15">
        <v>0</v>
      </c>
      <c r="E15">
        <v>1</v>
      </c>
    </row>
    <row r="16" spans="1:16" x14ac:dyDescent="0.3">
      <c r="A16">
        <v>14</v>
      </c>
      <c r="B16" t="s">
        <v>3</v>
      </c>
      <c r="C16">
        <v>1</v>
      </c>
      <c r="D16">
        <v>0</v>
      </c>
      <c r="E16">
        <v>1</v>
      </c>
    </row>
    <row r="17" spans="1:7" x14ac:dyDescent="0.3">
      <c r="A17">
        <v>15</v>
      </c>
      <c r="B17" t="s">
        <v>4</v>
      </c>
      <c r="C17">
        <v>0</v>
      </c>
      <c r="D17">
        <v>0</v>
      </c>
      <c r="F17">
        <v>1</v>
      </c>
    </row>
    <row r="18" spans="1:7" x14ac:dyDescent="0.3">
      <c r="A18">
        <v>16</v>
      </c>
      <c r="B18" t="s">
        <v>4</v>
      </c>
      <c r="C18">
        <v>0</v>
      </c>
      <c r="D18">
        <v>0</v>
      </c>
      <c r="F18">
        <v>1</v>
      </c>
    </row>
    <row r="19" spans="1:7" x14ac:dyDescent="0.3">
      <c r="A19">
        <v>17</v>
      </c>
      <c r="B19" t="s">
        <v>3</v>
      </c>
      <c r="C19">
        <v>0</v>
      </c>
      <c r="D19">
        <v>-5</v>
      </c>
      <c r="G19">
        <v>1</v>
      </c>
    </row>
    <row r="20" spans="1:7" x14ac:dyDescent="0.3">
      <c r="A20">
        <v>18</v>
      </c>
      <c r="B20" t="s">
        <v>3</v>
      </c>
      <c r="C20">
        <v>1</v>
      </c>
      <c r="D20">
        <v>0</v>
      </c>
      <c r="E20">
        <v>1</v>
      </c>
    </row>
    <row r="21" spans="1:7" x14ac:dyDescent="0.3">
      <c r="A21">
        <v>19</v>
      </c>
      <c r="B21" t="s">
        <v>3</v>
      </c>
      <c r="C21">
        <v>1</v>
      </c>
      <c r="D21">
        <v>0</v>
      </c>
      <c r="E21">
        <v>1</v>
      </c>
    </row>
    <row r="22" spans="1:7" x14ac:dyDescent="0.3">
      <c r="A22">
        <v>20</v>
      </c>
      <c r="B22" t="s">
        <v>3</v>
      </c>
      <c r="C22">
        <v>1</v>
      </c>
      <c r="D22">
        <v>0</v>
      </c>
      <c r="E22">
        <v>1</v>
      </c>
    </row>
    <row r="23" spans="1:7" x14ac:dyDescent="0.3">
      <c r="A23">
        <v>21</v>
      </c>
      <c r="B23" t="s">
        <v>3</v>
      </c>
      <c r="C23">
        <v>1</v>
      </c>
      <c r="D23">
        <v>0</v>
      </c>
      <c r="E23">
        <v>1</v>
      </c>
    </row>
    <row r="24" spans="1:7" x14ac:dyDescent="0.3">
      <c r="A24">
        <v>22</v>
      </c>
      <c r="B24" t="s">
        <v>3</v>
      </c>
      <c r="C24">
        <v>1</v>
      </c>
      <c r="D24">
        <v>0</v>
      </c>
      <c r="E24">
        <v>1</v>
      </c>
    </row>
    <row r="25" spans="1:7" x14ac:dyDescent="0.3">
      <c r="A25">
        <v>23</v>
      </c>
      <c r="B25" t="s">
        <v>4</v>
      </c>
      <c r="C25">
        <v>0</v>
      </c>
      <c r="D25">
        <v>0</v>
      </c>
      <c r="F25">
        <v>1</v>
      </c>
    </row>
    <row r="26" spans="1:7" x14ac:dyDescent="0.3">
      <c r="A26">
        <v>24</v>
      </c>
      <c r="B26" t="s">
        <v>3</v>
      </c>
      <c r="C26">
        <v>1</v>
      </c>
      <c r="D26">
        <v>0</v>
      </c>
      <c r="E26">
        <v>1</v>
      </c>
    </row>
    <row r="27" spans="1:7" x14ac:dyDescent="0.3">
      <c r="A27">
        <v>25</v>
      </c>
      <c r="B27" t="s">
        <v>3</v>
      </c>
      <c r="C27">
        <v>1</v>
      </c>
      <c r="D27">
        <v>0</v>
      </c>
      <c r="E27">
        <v>1</v>
      </c>
    </row>
    <row r="28" spans="1:7" x14ac:dyDescent="0.3">
      <c r="A28">
        <v>26</v>
      </c>
      <c r="B28" t="s">
        <v>3</v>
      </c>
      <c r="C28">
        <v>1</v>
      </c>
      <c r="D28">
        <v>0</v>
      </c>
      <c r="E28">
        <v>1</v>
      </c>
    </row>
    <row r="29" spans="1:7" x14ac:dyDescent="0.3">
      <c r="A29">
        <v>27</v>
      </c>
      <c r="B29" t="s">
        <v>4</v>
      </c>
      <c r="C29">
        <v>0</v>
      </c>
      <c r="D29">
        <v>0</v>
      </c>
      <c r="F29">
        <v>1</v>
      </c>
    </row>
    <row r="30" spans="1:7" x14ac:dyDescent="0.3">
      <c r="A30">
        <v>28</v>
      </c>
      <c r="B30" t="s">
        <v>3</v>
      </c>
      <c r="C30">
        <v>1</v>
      </c>
      <c r="D30">
        <v>0</v>
      </c>
      <c r="E30">
        <v>1</v>
      </c>
    </row>
    <row r="31" spans="1:7" x14ac:dyDescent="0.3">
      <c r="A31">
        <v>29</v>
      </c>
      <c r="B31" t="s">
        <v>3</v>
      </c>
      <c r="C31">
        <v>1</v>
      </c>
      <c r="D31">
        <v>0</v>
      </c>
      <c r="E31">
        <v>1</v>
      </c>
    </row>
    <row r="32" spans="1:7" x14ac:dyDescent="0.3">
      <c r="A32">
        <v>30</v>
      </c>
      <c r="B32" t="s">
        <v>3</v>
      </c>
      <c r="C32">
        <v>0</v>
      </c>
      <c r="D32">
        <v>3</v>
      </c>
      <c r="G32">
        <v>1</v>
      </c>
    </row>
    <row r="33" spans="1:8" x14ac:dyDescent="0.3">
      <c r="A33">
        <v>31</v>
      </c>
      <c r="B33" t="s">
        <v>4</v>
      </c>
      <c r="C33">
        <v>1</v>
      </c>
      <c r="D33">
        <v>3</v>
      </c>
      <c r="H33">
        <v>1</v>
      </c>
    </row>
    <row r="34" spans="1:8" x14ac:dyDescent="0.3">
      <c r="A34">
        <v>32</v>
      </c>
      <c r="B34" t="s">
        <v>3</v>
      </c>
      <c r="C34">
        <v>0</v>
      </c>
      <c r="D34">
        <v>3</v>
      </c>
      <c r="G34">
        <v>1</v>
      </c>
    </row>
    <row r="35" spans="1:8" x14ac:dyDescent="0.3">
      <c r="A35">
        <v>33</v>
      </c>
      <c r="B35" t="s">
        <v>4</v>
      </c>
      <c r="C35">
        <v>1</v>
      </c>
      <c r="D35">
        <v>4</v>
      </c>
      <c r="H35">
        <v>1</v>
      </c>
    </row>
    <row r="36" spans="1:8" x14ac:dyDescent="0.3">
      <c r="A36">
        <v>34</v>
      </c>
      <c r="B36" t="s">
        <v>4</v>
      </c>
      <c r="C36">
        <v>1</v>
      </c>
      <c r="D36">
        <v>3</v>
      </c>
      <c r="H36">
        <v>1</v>
      </c>
    </row>
    <row r="37" spans="1:8" x14ac:dyDescent="0.3">
      <c r="A37">
        <v>35</v>
      </c>
      <c r="B37" t="s">
        <v>3</v>
      </c>
      <c r="C37">
        <v>0</v>
      </c>
      <c r="D37">
        <v>-3</v>
      </c>
      <c r="G37">
        <v>1</v>
      </c>
    </row>
    <row r="38" spans="1:8" x14ac:dyDescent="0.3">
      <c r="A38">
        <v>36</v>
      </c>
      <c r="B38" t="s">
        <v>3</v>
      </c>
      <c r="C38">
        <v>1</v>
      </c>
      <c r="D38">
        <v>0</v>
      </c>
      <c r="E38">
        <v>1</v>
      </c>
    </row>
    <row r="39" spans="1:8" x14ac:dyDescent="0.3">
      <c r="A39">
        <v>37</v>
      </c>
      <c r="B39" t="s">
        <v>4</v>
      </c>
      <c r="C39">
        <v>0</v>
      </c>
      <c r="D39">
        <v>0</v>
      </c>
      <c r="F39">
        <v>1</v>
      </c>
    </row>
    <row r="40" spans="1:8" x14ac:dyDescent="0.3">
      <c r="A40">
        <v>38</v>
      </c>
      <c r="B40" t="s">
        <v>4</v>
      </c>
      <c r="C40">
        <v>1</v>
      </c>
      <c r="D40">
        <v>-2</v>
      </c>
      <c r="H40">
        <v>1</v>
      </c>
    </row>
    <row r="41" spans="1:8" x14ac:dyDescent="0.3">
      <c r="A41">
        <v>39</v>
      </c>
      <c r="B41" t="s">
        <v>3</v>
      </c>
      <c r="C41">
        <v>0</v>
      </c>
      <c r="D41">
        <v>1</v>
      </c>
      <c r="G41">
        <v>1</v>
      </c>
    </row>
    <row r="42" spans="1:8" x14ac:dyDescent="0.3">
      <c r="A42">
        <v>40</v>
      </c>
      <c r="B42" t="s">
        <v>3</v>
      </c>
      <c r="C42">
        <v>0</v>
      </c>
      <c r="D42">
        <v>1</v>
      </c>
      <c r="G42">
        <v>1</v>
      </c>
    </row>
    <row r="43" spans="1:8" x14ac:dyDescent="0.3">
      <c r="A43">
        <v>41</v>
      </c>
      <c r="B43" t="s">
        <v>4</v>
      </c>
      <c r="C43">
        <v>1</v>
      </c>
      <c r="D43">
        <v>-5</v>
      </c>
      <c r="H43">
        <v>1</v>
      </c>
    </row>
    <row r="44" spans="1:8" x14ac:dyDescent="0.3">
      <c r="A44">
        <v>42</v>
      </c>
      <c r="B44" t="s">
        <v>3</v>
      </c>
      <c r="C44">
        <v>1</v>
      </c>
      <c r="D44">
        <v>0</v>
      </c>
      <c r="E44">
        <v>1</v>
      </c>
    </row>
    <row r="45" spans="1:8" x14ac:dyDescent="0.3">
      <c r="A45">
        <v>43</v>
      </c>
      <c r="B45" t="s">
        <v>3</v>
      </c>
      <c r="C45">
        <v>0</v>
      </c>
      <c r="D45">
        <v>3</v>
      </c>
      <c r="G45">
        <v>1</v>
      </c>
    </row>
    <row r="46" spans="1:8" x14ac:dyDescent="0.3">
      <c r="A46">
        <v>44</v>
      </c>
      <c r="B46" t="s">
        <v>3</v>
      </c>
      <c r="C46">
        <v>1</v>
      </c>
      <c r="D46">
        <v>0</v>
      </c>
      <c r="E46">
        <v>1</v>
      </c>
    </row>
    <row r="47" spans="1:8" x14ac:dyDescent="0.3">
      <c r="A47">
        <v>45</v>
      </c>
      <c r="B47" t="s">
        <v>4</v>
      </c>
      <c r="C47">
        <v>0</v>
      </c>
      <c r="D47">
        <v>0</v>
      </c>
      <c r="F47">
        <v>1</v>
      </c>
    </row>
    <row r="48" spans="1:8" x14ac:dyDescent="0.3">
      <c r="A48">
        <v>46</v>
      </c>
      <c r="B48" t="s">
        <v>3</v>
      </c>
      <c r="C48">
        <v>0</v>
      </c>
      <c r="D48">
        <v>4</v>
      </c>
      <c r="G48">
        <v>1</v>
      </c>
    </row>
    <row r="49" spans="1:8" x14ac:dyDescent="0.3">
      <c r="A49">
        <v>47</v>
      </c>
      <c r="B49" t="s">
        <v>4</v>
      </c>
      <c r="C49">
        <v>1</v>
      </c>
      <c r="D49">
        <v>4</v>
      </c>
      <c r="H49">
        <v>1</v>
      </c>
    </row>
    <row r="50" spans="1:8" x14ac:dyDescent="0.3">
      <c r="A50">
        <v>48</v>
      </c>
      <c r="B50" t="s">
        <v>4</v>
      </c>
      <c r="C50">
        <v>0</v>
      </c>
      <c r="D50">
        <v>0</v>
      </c>
      <c r="F50">
        <v>1</v>
      </c>
    </row>
    <row r="51" spans="1:8" x14ac:dyDescent="0.3">
      <c r="A51">
        <v>49</v>
      </c>
      <c r="B51" t="s">
        <v>3</v>
      </c>
      <c r="C51">
        <v>0</v>
      </c>
      <c r="D51">
        <v>3</v>
      </c>
      <c r="G51">
        <v>1</v>
      </c>
    </row>
    <row r="52" spans="1:8" x14ac:dyDescent="0.3">
      <c r="A52">
        <v>50</v>
      </c>
      <c r="B52" t="s">
        <v>4</v>
      </c>
      <c r="C52">
        <v>1</v>
      </c>
      <c r="D52">
        <v>-1</v>
      </c>
      <c r="H52">
        <v>1</v>
      </c>
    </row>
    <row r="53" spans="1:8" x14ac:dyDescent="0.3">
      <c r="A53">
        <v>51</v>
      </c>
      <c r="B53" t="s">
        <v>3</v>
      </c>
      <c r="C53">
        <v>0</v>
      </c>
      <c r="D53">
        <v>3</v>
      </c>
      <c r="G53">
        <v>1</v>
      </c>
    </row>
    <row r="54" spans="1:8" x14ac:dyDescent="0.3">
      <c r="A54">
        <v>52</v>
      </c>
      <c r="B54" t="s">
        <v>4</v>
      </c>
      <c r="C54">
        <v>0</v>
      </c>
      <c r="D54">
        <v>0</v>
      </c>
      <c r="F54">
        <v>1</v>
      </c>
    </row>
    <row r="55" spans="1:8" x14ac:dyDescent="0.3">
      <c r="A55">
        <v>53</v>
      </c>
      <c r="B55" t="s">
        <v>3</v>
      </c>
      <c r="C55">
        <v>1</v>
      </c>
      <c r="D55">
        <v>0</v>
      </c>
      <c r="E55">
        <v>1</v>
      </c>
    </row>
    <row r="56" spans="1:8" x14ac:dyDescent="0.3">
      <c r="A56">
        <v>54</v>
      </c>
      <c r="B56" t="s">
        <v>4</v>
      </c>
      <c r="C56">
        <v>1</v>
      </c>
      <c r="D56">
        <v>-4</v>
      </c>
      <c r="H56">
        <v>1</v>
      </c>
    </row>
    <row r="57" spans="1:8" x14ac:dyDescent="0.3">
      <c r="A57">
        <v>55</v>
      </c>
      <c r="B57" t="s">
        <v>3</v>
      </c>
      <c r="C57">
        <v>0</v>
      </c>
      <c r="D57">
        <v>3</v>
      </c>
      <c r="G57">
        <v>1</v>
      </c>
    </row>
    <row r="58" spans="1:8" x14ac:dyDescent="0.3">
      <c r="A58">
        <v>56</v>
      </c>
      <c r="B58" t="s">
        <v>4</v>
      </c>
      <c r="C58">
        <v>0</v>
      </c>
      <c r="D58">
        <v>0</v>
      </c>
      <c r="F58">
        <v>1</v>
      </c>
    </row>
    <row r="59" spans="1:8" x14ac:dyDescent="0.3">
      <c r="A59">
        <v>57</v>
      </c>
      <c r="B59" t="s">
        <v>4</v>
      </c>
      <c r="C59">
        <v>1</v>
      </c>
      <c r="D59">
        <v>-3</v>
      </c>
      <c r="H59">
        <v>1</v>
      </c>
    </row>
    <row r="60" spans="1:8" x14ac:dyDescent="0.3">
      <c r="A60">
        <v>58</v>
      </c>
      <c r="B60" t="s">
        <v>4</v>
      </c>
      <c r="C60">
        <v>1</v>
      </c>
      <c r="D60">
        <v>-2</v>
      </c>
      <c r="H60">
        <v>1</v>
      </c>
    </row>
    <row r="61" spans="1:8" x14ac:dyDescent="0.3">
      <c r="A61">
        <v>59</v>
      </c>
      <c r="B61" t="s">
        <v>3</v>
      </c>
      <c r="C61">
        <v>1</v>
      </c>
      <c r="D61">
        <v>0</v>
      </c>
      <c r="E61">
        <v>1</v>
      </c>
    </row>
    <row r="62" spans="1:8" x14ac:dyDescent="0.3">
      <c r="A62">
        <v>60</v>
      </c>
      <c r="B62" t="s">
        <v>4</v>
      </c>
      <c r="C62">
        <v>0</v>
      </c>
      <c r="D62">
        <v>0</v>
      </c>
      <c r="F62">
        <v>1</v>
      </c>
    </row>
    <row r="63" spans="1:8" x14ac:dyDescent="0.3">
      <c r="A63">
        <v>61</v>
      </c>
      <c r="B63" t="s">
        <v>4</v>
      </c>
      <c r="C63">
        <v>1</v>
      </c>
      <c r="D63">
        <v>-2</v>
      </c>
      <c r="H63">
        <v>1</v>
      </c>
    </row>
    <row r="64" spans="1:8" x14ac:dyDescent="0.3">
      <c r="A64">
        <v>62</v>
      </c>
      <c r="B64" t="s">
        <v>3</v>
      </c>
      <c r="C64">
        <v>1</v>
      </c>
      <c r="D64">
        <v>0</v>
      </c>
      <c r="E64">
        <v>1</v>
      </c>
    </row>
    <row r="65" spans="1:8" x14ac:dyDescent="0.3">
      <c r="A65">
        <v>63</v>
      </c>
      <c r="B65" t="s">
        <v>3</v>
      </c>
      <c r="C65">
        <v>1</v>
      </c>
      <c r="D65">
        <v>0</v>
      </c>
      <c r="E65">
        <v>1</v>
      </c>
    </row>
    <row r="66" spans="1:8" x14ac:dyDescent="0.3">
      <c r="A66">
        <v>64</v>
      </c>
      <c r="B66" t="s">
        <v>4</v>
      </c>
      <c r="C66">
        <v>0</v>
      </c>
      <c r="D66">
        <v>0</v>
      </c>
      <c r="F66">
        <v>1</v>
      </c>
    </row>
    <row r="67" spans="1:8" x14ac:dyDescent="0.3">
      <c r="A67">
        <v>65</v>
      </c>
      <c r="B67" t="s">
        <v>3</v>
      </c>
      <c r="C67">
        <v>1</v>
      </c>
      <c r="D67">
        <v>0</v>
      </c>
      <c r="E67">
        <v>1</v>
      </c>
    </row>
    <row r="68" spans="1:8" x14ac:dyDescent="0.3">
      <c r="A68">
        <v>66</v>
      </c>
      <c r="B68" t="s">
        <v>4</v>
      </c>
      <c r="C68">
        <v>1</v>
      </c>
      <c r="D68">
        <v>-5</v>
      </c>
      <c r="H68">
        <v>1</v>
      </c>
    </row>
    <row r="69" spans="1:8" x14ac:dyDescent="0.3">
      <c r="A69">
        <v>67</v>
      </c>
      <c r="B69" t="s">
        <v>4</v>
      </c>
      <c r="C69">
        <v>1</v>
      </c>
      <c r="D69">
        <v>4</v>
      </c>
      <c r="H69">
        <v>1</v>
      </c>
    </row>
    <row r="70" spans="1:8" x14ac:dyDescent="0.3">
      <c r="A70">
        <v>68</v>
      </c>
      <c r="B70" t="s">
        <v>3</v>
      </c>
      <c r="C70">
        <v>0</v>
      </c>
      <c r="D70">
        <v>-1</v>
      </c>
      <c r="G70">
        <v>1</v>
      </c>
    </row>
    <row r="71" spans="1:8" x14ac:dyDescent="0.3">
      <c r="A71">
        <v>69</v>
      </c>
      <c r="B71" t="s">
        <v>3</v>
      </c>
      <c r="C71">
        <v>1</v>
      </c>
      <c r="D71">
        <v>0</v>
      </c>
      <c r="E71">
        <v>1</v>
      </c>
    </row>
    <row r="72" spans="1:8" x14ac:dyDescent="0.3">
      <c r="A72">
        <v>70</v>
      </c>
      <c r="B72" t="s">
        <v>4</v>
      </c>
      <c r="C72">
        <v>0</v>
      </c>
      <c r="D72">
        <v>0</v>
      </c>
      <c r="F72">
        <v>1</v>
      </c>
    </row>
    <row r="73" spans="1:8" x14ac:dyDescent="0.3">
      <c r="A73">
        <v>71</v>
      </c>
      <c r="B73" t="s">
        <v>3</v>
      </c>
      <c r="C73">
        <v>1</v>
      </c>
      <c r="D73">
        <v>0</v>
      </c>
      <c r="E73">
        <v>1</v>
      </c>
    </row>
    <row r="74" spans="1:8" x14ac:dyDescent="0.3">
      <c r="A74">
        <v>72</v>
      </c>
      <c r="B74" t="s">
        <v>3</v>
      </c>
      <c r="C74">
        <v>1</v>
      </c>
      <c r="D74">
        <v>0</v>
      </c>
      <c r="E74">
        <v>1</v>
      </c>
    </row>
    <row r="75" spans="1:8" x14ac:dyDescent="0.3">
      <c r="A75">
        <v>73</v>
      </c>
      <c r="B75" t="s">
        <v>4</v>
      </c>
      <c r="C75">
        <v>0</v>
      </c>
      <c r="D75">
        <v>0</v>
      </c>
      <c r="F75">
        <v>1</v>
      </c>
    </row>
    <row r="76" spans="1:8" x14ac:dyDescent="0.3">
      <c r="A76">
        <v>74</v>
      </c>
      <c r="B76" t="s">
        <v>3</v>
      </c>
      <c r="C76">
        <v>0</v>
      </c>
      <c r="D76">
        <v>-1</v>
      </c>
      <c r="G76">
        <v>1</v>
      </c>
    </row>
    <row r="77" spans="1:8" x14ac:dyDescent="0.3">
      <c r="A77">
        <v>75</v>
      </c>
      <c r="B77" t="s">
        <v>3</v>
      </c>
      <c r="C77">
        <v>1</v>
      </c>
      <c r="D77">
        <v>0</v>
      </c>
      <c r="E77">
        <v>1</v>
      </c>
    </row>
    <row r="78" spans="1:8" x14ac:dyDescent="0.3">
      <c r="A78">
        <v>76</v>
      </c>
      <c r="B78" t="s">
        <v>3</v>
      </c>
      <c r="C78">
        <v>1</v>
      </c>
      <c r="D78">
        <v>0</v>
      </c>
      <c r="E78">
        <v>1</v>
      </c>
    </row>
    <row r="79" spans="1:8" x14ac:dyDescent="0.3">
      <c r="A79">
        <v>77</v>
      </c>
      <c r="B79" t="s">
        <v>3</v>
      </c>
      <c r="C79">
        <v>0</v>
      </c>
      <c r="D79">
        <v>-1</v>
      </c>
      <c r="G79">
        <v>1</v>
      </c>
    </row>
    <row r="80" spans="1:8" x14ac:dyDescent="0.3">
      <c r="A80">
        <v>78</v>
      </c>
      <c r="B80" t="s">
        <v>4</v>
      </c>
      <c r="C80">
        <v>0</v>
      </c>
      <c r="D80">
        <v>0</v>
      </c>
      <c r="F80">
        <v>1</v>
      </c>
    </row>
    <row r="81" spans="1:8" x14ac:dyDescent="0.3">
      <c r="A81">
        <v>79</v>
      </c>
      <c r="B81" t="s">
        <v>4</v>
      </c>
      <c r="C81">
        <v>1</v>
      </c>
      <c r="D81">
        <v>3</v>
      </c>
      <c r="H81">
        <v>1</v>
      </c>
    </row>
    <row r="82" spans="1:8" x14ac:dyDescent="0.3">
      <c r="A82">
        <v>80</v>
      </c>
      <c r="B82" t="s">
        <v>4</v>
      </c>
      <c r="C82">
        <v>0</v>
      </c>
      <c r="D82">
        <v>0</v>
      </c>
      <c r="F82">
        <v>1</v>
      </c>
    </row>
    <row r="83" spans="1:8" x14ac:dyDescent="0.3">
      <c r="A83">
        <v>81</v>
      </c>
      <c r="B83" t="s">
        <v>3</v>
      </c>
      <c r="C83">
        <v>1</v>
      </c>
      <c r="D83">
        <v>0</v>
      </c>
      <c r="E83">
        <v>1</v>
      </c>
    </row>
    <row r="84" spans="1:8" x14ac:dyDescent="0.3">
      <c r="A84">
        <v>82</v>
      </c>
      <c r="B84" t="s">
        <v>3</v>
      </c>
      <c r="C84">
        <v>0</v>
      </c>
      <c r="D84">
        <v>2</v>
      </c>
      <c r="G84">
        <v>1</v>
      </c>
    </row>
    <row r="85" spans="1:8" x14ac:dyDescent="0.3">
      <c r="A85">
        <v>83</v>
      </c>
      <c r="B85" t="s">
        <v>3</v>
      </c>
      <c r="C85">
        <v>1</v>
      </c>
      <c r="D85">
        <v>0</v>
      </c>
      <c r="E85">
        <v>1</v>
      </c>
    </row>
    <row r="86" spans="1:8" x14ac:dyDescent="0.3">
      <c r="A86">
        <v>84</v>
      </c>
      <c r="B86" t="s">
        <v>3</v>
      </c>
      <c r="C86">
        <v>0</v>
      </c>
      <c r="D86">
        <v>0</v>
      </c>
      <c r="E86">
        <v>1</v>
      </c>
    </row>
    <row r="87" spans="1:8" x14ac:dyDescent="0.3">
      <c r="A87">
        <v>85</v>
      </c>
      <c r="B87" t="s">
        <v>3</v>
      </c>
      <c r="C87">
        <v>0</v>
      </c>
      <c r="D87">
        <v>-2</v>
      </c>
      <c r="G87">
        <v>1</v>
      </c>
    </row>
    <row r="88" spans="1:8" x14ac:dyDescent="0.3">
      <c r="A88">
        <v>86</v>
      </c>
      <c r="B88" t="s">
        <v>3</v>
      </c>
      <c r="C88">
        <v>0</v>
      </c>
      <c r="D88">
        <v>1</v>
      </c>
      <c r="G88">
        <v>1</v>
      </c>
    </row>
    <row r="89" spans="1:8" x14ac:dyDescent="0.3">
      <c r="A89">
        <v>87</v>
      </c>
      <c r="B89" t="s">
        <v>4</v>
      </c>
      <c r="C89">
        <v>0</v>
      </c>
      <c r="D89">
        <v>0</v>
      </c>
      <c r="F89">
        <v>1</v>
      </c>
    </row>
    <row r="90" spans="1:8" x14ac:dyDescent="0.3">
      <c r="A90">
        <v>88</v>
      </c>
      <c r="B90" t="s">
        <v>4</v>
      </c>
      <c r="C90">
        <v>0</v>
      </c>
      <c r="D90">
        <v>0</v>
      </c>
      <c r="F90">
        <v>1</v>
      </c>
    </row>
    <row r="91" spans="1:8" x14ac:dyDescent="0.3">
      <c r="A91">
        <v>89</v>
      </c>
      <c r="B91" t="s">
        <v>4</v>
      </c>
      <c r="C91">
        <v>0</v>
      </c>
      <c r="D91">
        <v>0</v>
      </c>
      <c r="F91">
        <v>1</v>
      </c>
    </row>
    <row r="92" spans="1:8" x14ac:dyDescent="0.3">
      <c r="A92">
        <v>90</v>
      </c>
      <c r="B92" t="s">
        <v>4</v>
      </c>
      <c r="C92">
        <v>0</v>
      </c>
      <c r="D92">
        <v>0</v>
      </c>
      <c r="F92">
        <v>1</v>
      </c>
    </row>
    <row r="93" spans="1:8" x14ac:dyDescent="0.3">
      <c r="A93">
        <v>91</v>
      </c>
      <c r="B93" t="s">
        <v>4</v>
      </c>
      <c r="C93">
        <v>1</v>
      </c>
      <c r="D93">
        <v>3</v>
      </c>
      <c r="H93">
        <v>1</v>
      </c>
    </row>
    <row r="94" spans="1:8" x14ac:dyDescent="0.3">
      <c r="A94">
        <v>92</v>
      </c>
      <c r="B94" t="s">
        <v>4</v>
      </c>
      <c r="C94">
        <v>1</v>
      </c>
      <c r="D94">
        <v>3</v>
      </c>
      <c r="H94">
        <v>1</v>
      </c>
    </row>
    <row r="95" spans="1:8" x14ac:dyDescent="0.3">
      <c r="A95">
        <v>93</v>
      </c>
      <c r="B95" t="s">
        <v>4</v>
      </c>
      <c r="C95">
        <v>0</v>
      </c>
      <c r="D95">
        <v>0</v>
      </c>
      <c r="F95">
        <v>1</v>
      </c>
    </row>
    <row r="96" spans="1:8" x14ac:dyDescent="0.3">
      <c r="A96">
        <v>94</v>
      </c>
      <c r="B96" t="s">
        <v>3</v>
      </c>
      <c r="C96">
        <v>1</v>
      </c>
      <c r="D96">
        <v>0</v>
      </c>
      <c r="E96">
        <v>1</v>
      </c>
    </row>
    <row r="97" spans="1:8" x14ac:dyDescent="0.3">
      <c r="A97">
        <v>95</v>
      </c>
      <c r="B97" t="s">
        <v>4</v>
      </c>
      <c r="C97">
        <v>1</v>
      </c>
      <c r="D97">
        <v>-5</v>
      </c>
      <c r="H97">
        <v>1</v>
      </c>
    </row>
    <row r="98" spans="1:8" x14ac:dyDescent="0.3">
      <c r="A98">
        <v>96</v>
      </c>
      <c r="B98" t="s">
        <v>4</v>
      </c>
      <c r="C98">
        <v>1</v>
      </c>
      <c r="D98">
        <v>4</v>
      </c>
      <c r="H98">
        <v>1</v>
      </c>
    </row>
    <row r="99" spans="1:8" x14ac:dyDescent="0.3">
      <c r="A99">
        <v>97</v>
      </c>
      <c r="B99" t="s">
        <v>4</v>
      </c>
      <c r="C99">
        <v>1</v>
      </c>
      <c r="D99">
        <v>-5</v>
      </c>
      <c r="H99">
        <v>1</v>
      </c>
    </row>
    <row r="100" spans="1:8" x14ac:dyDescent="0.3">
      <c r="A100">
        <v>98</v>
      </c>
      <c r="B100" t="s">
        <v>3</v>
      </c>
      <c r="C100">
        <v>1</v>
      </c>
      <c r="D100">
        <v>0</v>
      </c>
      <c r="E100">
        <v>1</v>
      </c>
    </row>
    <row r="101" spans="1:8" x14ac:dyDescent="0.3">
      <c r="A101">
        <v>99</v>
      </c>
      <c r="B101" t="s">
        <v>4</v>
      </c>
      <c r="C101">
        <v>0</v>
      </c>
      <c r="D101">
        <v>0</v>
      </c>
      <c r="F101">
        <v>1</v>
      </c>
    </row>
    <row r="102" spans="1:8" x14ac:dyDescent="0.3">
      <c r="C102" t="s">
        <v>17</v>
      </c>
      <c r="D102">
        <f>SUM(E3:E100)</f>
        <v>38</v>
      </c>
      <c r="E102">
        <f>SUM(F9:F101)</f>
        <v>22</v>
      </c>
      <c r="F102">
        <f>SUM(G2:G88)</f>
        <v>18</v>
      </c>
      <c r="G102">
        <f>SUM(H4:H99)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85B9-B716-4214-B7B7-855995AB7C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2025-09-10T14:52:28Z</dcterms:created>
  <dcterms:modified xsi:type="dcterms:W3CDTF">2025-09-11T17:54:13Z</dcterms:modified>
</cp:coreProperties>
</file>