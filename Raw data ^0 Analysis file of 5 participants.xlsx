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Word priming Exp. 7/"/>
    </mc:Choice>
  </mc:AlternateContent>
  <xr:revisionPtr revIDLastSave="0" documentId="8_{C5C7D53C-F14F-4F9C-94E5-E6EF16750FDF}" xr6:coauthVersionLast="47" xr6:coauthVersionMax="47" xr10:uidLastSave="{00000000-0000-0000-0000-000000000000}"/>
  <bookViews>
    <workbookView xWindow="-108" yWindow="-108" windowWidth="23256" windowHeight="12456" xr2:uid="{08029A79-F6B0-4EFA-A39B-F2C7D7D8FD43}"/>
  </bookViews>
  <sheets>
    <sheet name="p4_Word Priming_2025-10-16_15h5" sheetId="1" r:id="rId1"/>
    <sheet name="analysis-4" sheetId="2" r:id="rId2"/>
    <sheet name="p3_Word priming_2025-10-16_15h5" sheetId="3" r:id="rId3"/>
    <sheet name="Analysis-3" sheetId="4" r:id="rId4"/>
    <sheet name="2_Word Priming_2025-10-16_15h50" sheetId="5" r:id="rId5"/>
    <sheet name="Analysis-2" sheetId="6" r:id="rId6"/>
    <sheet name="1_Word Priming_2025-10-16_15h50" sheetId="7" r:id="rId7"/>
    <sheet name="Analysis-1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8" l="1"/>
  <c r="H1" i="8"/>
  <c r="G4" i="8" s="1"/>
  <c r="H2" i="6"/>
  <c r="H1" i="6"/>
  <c r="G4" i="6" s="1"/>
  <c r="H2" i="4"/>
  <c r="H1" i="4"/>
  <c r="H2" i="2"/>
  <c r="H1" i="2"/>
  <c r="G4" i="2" s="1"/>
  <c r="G4" i="4" l="1"/>
</calcChain>
</file>

<file path=xl/sharedStrings.xml><?xml version="1.0" encoding="utf-8"?>
<sst xmlns="http://schemas.openxmlformats.org/spreadsheetml/2006/main" count="2688" uniqueCount="237">
  <si>
    <t>Study_word</t>
  </si>
  <si>
    <t>thisN</t>
  </si>
  <si>
    <t>thisTrialN</t>
  </si>
  <si>
    <t>thisRepN</t>
  </si>
  <si>
    <t>Studyslider.response</t>
  </si>
  <si>
    <t>Studyslider.rt</t>
  </si>
  <si>
    <t>test_word</t>
  </si>
  <si>
    <t>references</t>
  </si>
  <si>
    <t>old_new</t>
  </si>
  <si>
    <t>test_textbox.text</t>
  </si>
  <si>
    <t>testmouse.x</t>
  </si>
  <si>
    <t>testmouse.y</t>
  </si>
  <si>
    <t>testmouse.leftButton</t>
  </si>
  <si>
    <t>testmouse.midButton</t>
  </si>
  <si>
    <t>testmouse.rightButton</t>
  </si>
  <si>
    <t>testmouse.time</t>
  </si>
  <si>
    <t>testmouse.clicked_name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</si>
  <si>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</si>
  <si>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</si>
  <si>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</si>
  <si>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</si>
  <si>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</si>
  <si>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</si>
  <si>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</si>
  <si>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</si>
  <si>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</si>
  <si>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</si>
  <si>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</si>
  <si>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StudyText.started</t>
  </si>
  <si>
    <t>Studyslider.started</t>
  </si>
  <si>
    <t>trial.stopped</t>
  </si>
  <si>
    <t>trials.Studyslider.response</t>
  </si>
  <si>
    <t>trials.Studyslider.rt</t>
  </si>
  <si>
    <t>TestText.started</t>
  </si>
  <si>
    <t>Test_text.started</t>
  </si>
  <si>
    <t>test_textbox.started</t>
  </si>
  <si>
    <t>submit_text.started</t>
  </si>
  <si>
    <t>testmouse.started</t>
  </si>
  <si>
    <t>TestText.stopped</t>
  </si>
  <si>
    <t>trials_2.test_textbox.text</t>
  </si>
  <si>
    <t>trials_2.testmouse.x</t>
  </si>
  <si>
    <t>trials_2.testmouse.y</t>
  </si>
  <si>
    <t>trials_2.testmouse.leftButton</t>
  </si>
  <si>
    <t>trials_2.testmouse.midButton</t>
  </si>
  <si>
    <t>trials_2.testmouse.rightButton</t>
  </si>
  <si>
    <t>trials_2.testmouse.time</t>
  </si>
  <si>
    <t>trials_2.testmouse.clicked_name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</si>
  <si>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</si>
  <si>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</si>
  <si>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</si>
  <si>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</si>
  <si>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</si>
  <si>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</si>
  <si>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</si>
  <si>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</si>
  <si>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mouse</t>
  </si>
  <si>
    <t>p4</t>
  </si>
  <si>
    <t>2025-10-16_15h56.43.904</t>
  </si>
  <si>
    <t>Word Priming</t>
  </si>
  <si>
    <t>2025.1.1</t>
  </si>
  <si>
    <t>2025-10-16 15h57.07.934122 +0530</t>
  </si>
  <si>
    <t>police</t>
  </si>
  <si>
    <t>phone</t>
  </si>
  <si>
    <t>chart</t>
  </si>
  <si>
    <t>laptop</t>
  </si>
  <si>
    <t>cruise</t>
  </si>
  <si>
    <t>t-shirt</t>
  </si>
  <si>
    <t>marble</t>
  </si>
  <si>
    <t>case</t>
  </si>
  <si>
    <t>poster</t>
  </si>
  <si>
    <t>cushion</t>
  </si>
  <si>
    <t>pastry</t>
  </si>
  <si>
    <t>board</t>
  </si>
  <si>
    <t>keys</t>
  </si>
  <si>
    <t>book</t>
  </si>
  <si>
    <t>_o_rd</t>
  </si>
  <si>
    <t>old</t>
  </si>
  <si>
    <t>[np.float64(-0.30833333333333335), np.float64(-0.08796296296296297)]</t>
  </si>
  <si>
    <t>[np.float64(-0.28425925925925927), np.float64(-0.2675925925925926)]</t>
  </si>
  <si>
    <t>[1, 1]</t>
  </si>
  <si>
    <t>[0, 0]</t>
  </si>
  <si>
    <t>[4.4837703999946825, 5.556083499999659]</t>
  </si>
  <si>
    <t>[None, 'submit_text']</t>
  </si>
  <si>
    <t>ta_l_</t>
  </si>
  <si>
    <t>table</t>
  </si>
  <si>
    <t>new</t>
  </si>
  <si>
    <t>[np.float64(-0.08796296296296297)]</t>
  </si>
  <si>
    <t>[np.float64(-0.2675925925925926)]</t>
  </si>
  <si>
    <t>[1]</t>
  </si>
  <si>
    <t>[0]</t>
  </si>
  <si>
    <t>[3.470180000003893]</t>
  </si>
  <si>
    <t>['submit_text']</t>
  </si>
  <si>
    <t>_ru_is_</t>
  </si>
  <si>
    <t>[10.822151300002588]</t>
  </si>
  <si>
    <t>v_s_</t>
  </si>
  <si>
    <t>vase</t>
  </si>
  <si>
    <t>[3.212772299993958]</t>
  </si>
  <si>
    <t>c_s_io_</t>
  </si>
  <si>
    <t>[np.float64(-0.09537037037037037)]</t>
  </si>
  <si>
    <t>[np.float64(-0.2759259259259259)]</t>
  </si>
  <si>
    <t>[6.916307600004075]</t>
  </si>
  <si>
    <t>p_st_r</t>
  </si>
  <si>
    <t>[4.937094699998852]</t>
  </si>
  <si>
    <t>_ha_t</t>
  </si>
  <si>
    <t>[np.float64(-0.09351851851851851)]</t>
  </si>
  <si>
    <t>[np.float64(-0.28055555555555556)]</t>
  </si>
  <si>
    <t>[5.11168099999486]</t>
  </si>
  <si>
    <t>bo_t_e</t>
  </si>
  <si>
    <t>bottle</t>
  </si>
  <si>
    <t>[8.822436599999492]</t>
  </si>
  <si>
    <t>c_s_</t>
  </si>
  <si>
    <t>[0.271591199998511]</t>
  </si>
  <si>
    <t>t_hi_t</t>
  </si>
  <si>
    <t>tshirt</t>
  </si>
  <si>
    <t>[5.868482500001846]</t>
  </si>
  <si>
    <t>p_li_e</t>
  </si>
  <si>
    <t>[4.165313999998034]</t>
  </si>
  <si>
    <t>_oo_</t>
  </si>
  <si>
    <t>[4.187480799999321]</t>
  </si>
  <si>
    <t>c_m_ra</t>
  </si>
  <si>
    <t>camera</t>
  </si>
  <si>
    <t>[3.956545699998969]</t>
  </si>
  <si>
    <t>l_pt_p</t>
  </si>
  <si>
    <t>[5.644753100001253]</t>
  </si>
  <si>
    <t>_ho_e</t>
  </si>
  <si>
    <t>[14.324240699999791]</t>
  </si>
  <si>
    <t>k_y_</t>
  </si>
  <si>
    <t>[np.float64(-0.04351851851851852)]</t>
  </si>
  <si>
    <t>[np.float64(-0.275)]</t>
  </si>
  <si>
    <t>[7.711485200001334]</t>
  </si>
  <si>
    <t>p_nc_l</t>
  </si>
  <si>
    <t>pencil</t>
  </si>
  <si>
    <t>[4.321091500001785]</t>
  </si>
  <si>
    <t>p_s_tr_</t>
  </si>
  <si>
    <t>[22.382028299995]</t>
  </si>
  <si>
    <t>_a_bl_</t>
  </si>
  <si>
    <t>[6.084849999999278]</t>
  </si>
  <si>
    <t>_ou_se</t>
  </si>
  <si>
    <t>[3.9311200000011013]</t>
  </si>
  <si>
    <t>prop of hit of study list</t>
  </si>
  <si>
    <t>prop of hit of non-primed words</t>
  </si>
  <si>
    <t>prime score</t>
  </si>
  <si>
    <t>p3</t>
  </si>
  <si>
    <t>2025-10-16_15h53.28.915</t>
  </si>
  <si>
    <t>2025-10-16 15h53.40.908104 +0530</t>
  </si>
  <si>
    <t>[np.float64(0.0712962962962963)]</t>
  </si>
  <si>
    <t>[np.float64(-0.2601851851851852)]</t>
  </si>
  <si>
    <t>[4.242065500002354]</t>
  </si>
  <si>
    <t>[np.float64(0.06666666666666667)]</t>
  </si>
  <si>
    <t>[np.float64(-0.26481481481481484)]</t>
  </si>
  <si>
    <t>[3.680655800002569]</t>
  </si>
  <si>
    <t>[np.float64(0.025925925925925925)]</t>
  </si>
  <si>
    <t>[np.float64(-0.2777777777777778)]</t>
  </si>
  <si>
    <t>[9.046389999995881]</t>
  </si>
  <si>
    <t>[4.3552453000011155]</t>
  </si>
  <si>
    <t>[4.047350399996503]</t>
  </si>
  <si>
    <t>[5.402811099993414]</t>
  </si>
  <si>
    <t>[11.301385500002652]</t>
  </si>
  <si>
    <t>[3.063926299997547]</t>
  </si>
  <si>
    <t>[9.004886799993983]</t>
  </si>
  <si>
    <t>[5.252790899998217]</t>
  </si>
  <si>
    <t>[4.588453900003515]</t>
  </si>
  <si>
    <t>[5.9113670000006096]</t>
  </si>
  <si>
    <t>[3.4972339999949327]</t>
  </si>
  <si>
    <t>[5.311995299998671]</t>
  </si>
  <si>
    <t>[4.247467399996822]</t>
  </si>
  <si>
    <t>[4.587590499999351]</t>
  </si>
  <si>
    <t>[20.283782500002417]</t>
  </si>
  <si>
    <t>[7.423958999999741]</t>
  </si>
  <si>
    <t>[18.24666360000265]</t>
  </si>
  <si>
    <t>whole</t>
  </si>
  <si>
    <t>[np.float64(0.014814814814814815), np.float64(0.014814814814814815)]</t>
  </si>
  <si>
    <t>[np.float64(-0.24074074074074073), np.float64(-0.2611111111111111)]</t>
  </si>
  <si>
    <t>[9.512373300000036, 10.436126700005843]</t>
  </si>
  <si>
    <t>2025-10-16_15h50.47.949</t>
  </si>
  <si>
    <t>2025-10-16 15h50.55.476003 +0530</t>
  </si>
  <si>
    <t>[np.float64(-0.49537037037037035), np.float64(-0.49537037037037035), np.float64(-0.04722222222222222)]</t>
  </si>
  <si>
    <t>[np.float64(-0.29074074074074074), np.float64(-0.29074074074074074), np.float64(-0.29074074074074074)]</t>
  </si>
  <si>
    <t>[1, 1, 1]</t>
  </si>
  <si>
    <t>[0, 0, 0]</t>
  </si>
  <si>
    <t>[1.189061600001878, 3.642347900000459, 4.832792399996833]</t>
  </si>
  <si>
    <t>[None, None, 'submit_text']</t>
  </si>
  <si>
    <t>[np.float64(-0.04722222222222222)]</t>
  </si>
  <si>
    <t>[np.float64(-0.29074074074074074)]</t>
  </si>
  <si>
    <t>[3.3227217000021483]</t>
  </si>
  <si>
    <t>[np.float64(-0.046296296296296294)]</t>
  </si>
  <si>
    <t>[np.float64(-0.28425925925925927)]</t>
  </si>
  <si>
    <t>[3.092226499997196]</t>
  </si>
  <si>
    <t>[np.float64(-0.0712962962962963)]</t>
  </si>
  <si>
    <t>[np.float64(-0.2712962962962963)]</t>
  </si>
  <si>
    <t>[5.021089099995152]</t>
  </si>
  <si>
    <t>[2.0722600999943097]</t>
  </si>
  <si>
    <t>[1.7841785999989952]</t>
  </si>
  <si>
    <t>[5.144254300001194]</t>
  </si>
  <si>
    <t>[4.784643099999812]</t>
  </si>
  <si>
    <t>[4.749659499997506]</t>
  </si>
  <si>
    <t>[2.715723399996932]</t>
  </si>
  <si>
    <t>[1.904269500002556]</t>
  </si>
  <si>
    <t>[np.float64(-0.08148148148148149)]</t>
  </si>
  <si>
    <t>[5.8040385999993305]</t>
  </si>
  <si>
    <t>[1.6500373000017134]</t>
  </si>
  <si>
    <t>[2.1097489000021596]</t>
  </si>
  <si>
    <t>[2.049423199998273]</t>
  </si>
  <si>
    <t>mousse</t>
  </si>
  <si>
    <t>[13.86275499999465]</t>
  </si>
  <si>
    <t>[4.454493500001263]</t>
  </si>
  <si>
    <t>[3.1237084999957005]</t>
  </si>
  <si>
    <t>[2.941857500001788]</t>
  </si>
  <si>
    <t>[3.2242683000004035]</t>
  </si>
  <si>
    <t xml:space="preserve">if your priming score is negative or 0 then there is no effect else there is one. </t>
  </si>
  <si>
    <t>StudyText.stopped</t>
  </si>
  <si>
    <t>2025-10-16_15h48.24.568</t>
  </si>
  <si>
    <t>2025-10-16 15h48.34.428614 +0530</t>
  </si>
  <si>
    <t>[np.float64(-0.11666666666666667)]</t>
  </si>
  <si>
    <t>[7.2574621999956435]</t>
  </si>
  <si>
    <t>[3.2640437000009115]</t>
  </si>
  <si>
    <t>[2.466338199999882]</t>
  </si>
  <si>
    <t>[2.2843542999980855]</t>
  </si>
  <si>
    <t>[7.142695300004561]</t>
  </si>
  <si>
    <t>[21.72389220000332]</t>
  </si>
  <si>
    <t>[4.613584400001855]</t>
  </si>
  <si>
    <t>[2.361002899997402]</t>
  </si>
  <si>
    <t>[3.0263340000019525]</t>
  </si>
  <si>
    <t>[4.206234099998255]</t>
  </si>
  <si>
    <t>[10.576099800004158]</t>
  </si>
  <si>
    <t>[1.7352006000000983]</t>
  </si>
  <si>
    <t>[2.9976081999993767]</t>
  </si>
  <si>
    <t>[2.5839389999964624]</t>
  </si>
  <si>
    <t>[2.51790830000391]</t>
  </si>
  <si>
    <t>[2.572272299999895]</t>
  </si>
  <si>
    <t>[2.2499615000051563]</t>
  </si>
  <si>
    <t>[2.585022500003106]</t>
  </si>
  <si>
    <t>[np.float64(-0.10925925925925926)]</t>
  </si>
  <si>
    <t>[2.650945099994715]</t>
  </si>
  <si>
    <t>[np.float64(-0.13796296296296295)]</t>
  </si>
  <si>
    <t>[np.float64(-0.26851851851851855)]</t>
  </si>
  <si>
    <t>[3.1059882000045036]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</si>
</sst>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4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19BA-E928-4C19-99BB-CF250B14D00F}">
  <dimension ref="A1:BC36"/>
  <sheetViews>
    <sheetView tabSelected="1" workbookViewId="0">
      <selection activeCell="D26" sqref="D26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1.7666666666666599</v>
      </c>
      <c r="F2">
        <v>1.7746579000013201</v>
      </c>
      <c r="R2">
        <v>0</v>
      </c>
      <c r="S2">
        <v>0</v>
      </c>
      <c r="T2">
        <v>0</v>
      </c>
      <c r="U2">
        <v>8</v>
      </c>
      <c r="Z2">
        <v>2.8123099997173901E-2</v>
      </c>
      <c r="AB2">
        <v>1.4762200000404801E-2</v>
      </c>
      <c r="AC2">
        <v>2.8123099997173901E-2</v>
      </c>
      <c r="AD2">
        <v>2.8123099997173901E-2</v>
      </c>
      <c r="AE2">
        <v>1.7979405000005499</v>
      </c>
      <c r="AF2">
        <v>1.7666666666666599</v>
      </c>
      <c r="AG2">
        <v>1.7746579000013201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>
        <v>120.071370424376</v>
      </c>
      <c r="BC2" t="s">
        <v>60</v>
      </c>
    </row>
    <row r="3" spans="1:55" x14ac:dyDescent="0.3">
      <c r="A3" t="s">
        <v>61</v>
      </c>
      <c r="B3">
        <v>1</v>
      </c>
      <c r="C3">
        <v>1</v>
      </c>
      <c r="D3">
        <v>0</v>
      </c>
      <c r="E3">
        <v>1.7666666666666599</v>
      </c>
      <c r="F3">
        <v>0.99188989999674904</v>
      </c>
      <c r="R3">
        <v>0</v>
      </c>
      <c r="S3">
        <v>1</v>
      </c>
      <c r="T3">
        <v>1</v>
      </c>
      <c r="U3">
        <v>12</v>
      </c>
      <c r="Z3">
        <v>1.81274719999782</v>
      </c>
      <c r="AB3">
        <v>1.8045345999998901</v>
      </c>
      <c r="AC3">
        <v>1.81274719999782</v>
      </c>
      <c r="AD3">
        <v>1.81274719999782</v>
      </c>
      <c r="AE3">
        <v>2.8039766000001598</v>
      </c>
      <c r="AF3">
        <v>1.7666666666666599</v>
      </c>
      <c r="AG3">
        <v>0.99188989999674904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>
        <v>120.071370424376</v>
      </c>
      <c r="BC3" t="s">
        <v>60</v>
      </c>
    </row>
    <row r="4" spans="1:55" x14ac:dyDescent="0.3">
      <c r="A4" t="s">
        <v>62</v>
      </c>
      <c r="B4">
        <v>2</v>
      </c>
      <c r="C4">
        <v>2</v>
      </c>
      <c r="D4">
        <v>0</v>
      </c>
      <c r="E4">
        <v>1.7666666666666599</v>
      </c>
      <c r="F4">
        <v>0.87107760000071699</v>
      </c>
      <c r="R4">
        <v>0</v>
      </c>
      <c r="S4">
        <v>2</v>
      </c>
      <c r="T4">
        <v>2</v>
      </c>
      <c r="U4">
        <v>2</v>
      </c>
      <c r="Z4">
        <v>2.8170956999965702</v>
      </c>
      <c r="AB4">
        <v>2.8089915999953501</v>
      </c>
      <c r="AC4">
        <v>2.8170956999965702</v>
      </c>
      <c r="AD4">
        <v>2.8170956999965702</v>
      </c>
      <c r="AE4">
        <v>3.6869872999959599</v>
      </c>
      <c r="AF4">
        <v>1.7666666666666599</v>
      </c>
      <c r="AG4">
        <v>0.87107760000071699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>
        <v>120.071370424376</v>
      </c>
      <c r="BC4" t="s">
        <v>60</v>
      </c>
    </row>
    <row r="5" spans="1:55" x14ac:dyDescent="0.3">
      <c r="A5" t="s">
        <v>63</v>
      </c>
      <c r="B5">
        <v>3</v>
      </c>
      <c r="C5">
        <v>3</v>
      </c>
      <c r="D5">
        <v>0</v>
      </c>
      <c r="E5">
        <v>1.7666666666666599</v>
      </c>
      <c r="F5">
        <v>1.2275545000011301</v>
      </c>
      <c r="R5">
        <v>0</v>
      </c>
      <c r="S5">
        <v>3</v>
      </c>
      <c r="T5">
        <v>3</v>
      </c>
      <c r="U5">
        <v>6</v>
      </c>
      <c r="Z5">
        <v>3.6966656000004101</v>
      </c>
      <c r="AB5">
        <v>3.6912641000017099</v>
      </c>
      <c r="AC5">
        <v>3.6966656000004101</v>
      </c>
      <c r="AD5">
        <v>3.6966656000004101</v>
      </c>
      <c r="AE5">
        <v>4.9265935000003003</v>
      </c>
      <c r="AF5">
        <v>1.7666666666666599</v>
      </c>
      <c r="AG5">
        <v>1.2275545000011301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>
        <v>120.071370424376</v>
      </c>
      <c r="BC5" t="s">
        <v>60</v>
      </c>
    </row>
    <row r="6" spans="1:55" x14ac:dyDescent="0.3">
      <c r="A6" t="s">
        <v>64</v>
      </c>
      <c r="B6">
        <v>4</v>
      </c>
      <c r="C6">
        <v>4</v>
      </c>
      <c r="D6">
        <v>0</v>
      </c>
      <c r="E6">
        <v>1.7666666666666599</v>
      </c>
      <c r="F6">
        <v>0.85332080000080102</v>
      </c>
      <c r="R6">
        <v>0</v>
      </c>
      <c r="S6">
        <v>4</v>
      </c>
      <c r="T6">
        <v>4</v>
      </c>
      <c r="U6">
        <v>5</v>
      </c>
      <c r="Z6">
        <v>4.9351123999949698</v>
      </c>
      <c r="AB6">
        <v>4.9295316999996404</v>
      </c>
      <c r="AC6">
        <v>4.9351123999949698</v>
      </c>
      <c r="AD6">
        <v>4.9351123999949698</v>
      </c>
      <c r="AE6">
        <v>5.7907833999997802</v>
      </c>
      <c r="AF6">
        <v>1.7666666666666599</v>
      </c>
      <c r="AG6">
        <v>0.85332080000080102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>
        <v>120.071370424376</v>
      </c>
      <c r="BC6" t="s">
        <v>60</v>
      </c>
    </row>
    <row r="7" spans="1:55" x14ac:dyDescent="0.3">
      <c r="A7" t="s">
        <v>65</v>
      </c>
      <c r="B7">
        <v>5</v>
      </c>
      <c r="C7">
        <v>5</v>
      </c>
      <c r="D7">
        <v>0</v>
      </c>
      <c r="E7">
        <v>1.7666666666666599</v>
      </c>
      <c r="F7">
        <v>2.1771117000025599</v>
      </c>
      <c r="R7">
        <v>0</v>
      </c>
      <c r="S7">
        <v>5</v>
      </c>
      <c r="T7">
        <v>5</v>
      </c>
      <c r="U7">
        <v>11</v>
      </c>
      <c r="Z7">
        <v>5.80143700000189</v>
      </c>
      <c r="AB7">
        <v>5.7943916000003801</v>
      </c>
      <c r="AC7">
        <v>5.80143700000189</v>
      </c>
      <c r="AD7">
        <v>5.80143700000189</v>
      </c>
      <c r="AE7">
        <v>7.9786477000016003</v>
      </c>
      <c r="AF7">
        <v>1.7666666666666599</v>
      </c>
      <c r="AG7">
        <v>2.1771117000025599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>
        <v>120.071370424376</v>
      </c>
      <c r="BC7" t="s">
        <v>60</v>
      </c>
    </row>
    <row r="8" spans="1:55" x14ac:dyDescent="0.3">
      <c r="A8" t="s">
        <v>66</v>
      </c>
      <c r="B8">
        <v>6</v>
      </c>
      <c r="C8">
        <v>6</v>
      </c>
      <c r="D8">
        <v>0</v>
      </c>
      <c r="E8">
        <v>1.7666666666666599</v>
      </c>
      <c r="F8">
        <v>1.13119949999963</v>
      </c>
      <c r="R8">
        <v>0</v>
      </c>
      <c r="S8">
        <v>6</v>
      </c>
      <c r="T8">
        <v>6</v>
      </c>
      <c r="U8">
        <v>7</v>
      </c>
      <c r="Z8">
        <v>7.9910264999998599</v>
      </c>
      <c r="AB8">
        <v>7.98458589999791</v>
      </c>
      <c r="AC8">
        <v>7.9910264999998599</v>
      </c>
      <c r="AD8">
        <v>7.9910264999998599</v>
      </c>
      <c r="AE8">
        <v>9.1241325000009894</v>
      </c>
      <c r="AF8">
        <v>1.7666666666666599</v>
      </c>
      <c r="AG8">
        <v>1.13119949999963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>
        <v>120.071370424376</v>
      </c>
      <c r="BC8" t="s">
        <v>60</v>
      </c>
    </row>
    <row r="9" spans="1:55" x14ac:dyDescent="0.3">
      <c r="A9" t="s">
        <v>67</v>
      </c>
      <c r="B9">
        <v>7</v>
      </c>
      <c r="C9">
        <v>7</v>
      </c>
      <c r="D9">
        <v>0</v>
      </c>
      <c r="E9">
        <v>1.7666666666666599</v>
      </c>
      <c r="F9">
        <v>0.87315550000494102</v>
      </c>
      <c r="R9">
        <v>0</v>
      </c>
      <c r="S9">
        <v>7</v>
      </c>
      <c r="T9">
        <v>7</v>
      </c>
      <c r="U9">
        <v>3</v>
      </c>
      <c r="Z9">
        <v>9.1360914999968301</v>
      </c>
      <c r="AB9">
        <v>9.1284844999972794</v>
      </c>
      <c r="AC9">
        <v>9.1360914999968301</v>
      </c>
      <c r="AD9">
        <v>9.1360914999968301</v>
      </c>
      <c r="AE9">
        <v>10.0097067999959</v>
      </c>
      <c r="AF9">
        <v>1.7666666666666599</v>
      </c>
      <c r="AG9">
        <v>0.87315550000494102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>
        <v>120.071370424376</v>
      </c>
      <c r="BC9" t="s">
        <v>60</v>
      </c>
    </row>
    <row r="10" spans="1:55" x14ac:dyDescent="0.3">
      <c r="A10" t="s">
        <v>68</v>
      </c>
      <c r="B10">
        <v>8</v>
      </c>
      <c r="C10">
        <v>8</v>
      </c>
      <c r="D10">
        <v>0</v>
      </c>
      <c r="E10">
        <v>1.7666666666666599</v>
      </c>
      <c r="F10">
        <v>0.69455899999593296</v>
      </c>
      <c r="R10">
        <v>0</v>
      </c>
      <c r="S10">
        <v>8</v>
      </c>
      <c r="T10">
        <v>8</v>
      </c>
      <c r="U10">
        <v>10</v>
      </c>
      <c r="Z10">
        <v>10.0196966000003</v>
      </c>
      <c r="AB10">
        <v>10.0130558000018</v>
      </c>
      <c r="AC10">
        <v>10.0196966000003</v>
      </c>
      <c r="AD10">
        <v>10.0196966000003</v>
      </c>
      <c r="AE10">
        <v>10.7143815999952</v>
      </c>
      <c r="AF10">
        <v>1.7666666666666599</v>
      </c>
      <c r="AG10">
        <v>0.69455899999593296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>
        <v>120.071370424376</v>
      </c>
      <c r="BC10" t="s">
        <v>60</v>
      </c>
    </row>
    <row r="11" spans="1:55" x14ac:dyDescent="0.3">
      <c r="A11" t="s">
        <v>69</v>
      </c>
      <c r="B11">
        <v>9</v>
      </c>
      <c r="C11">
        <v>9</v>
      </c>
      <c r="D11">
        <v>0</v>
      </c>
      <c r="E11">
        <v>1.7666666666666599</v>
      </c>
      <c r="F11">
        <v>1.42044210000312</v>
      </c>
      <c r="R11">
        <v>0</v>
      </c>
      <c r="S11">
        <v>9</v>
      </c>
      <c r="T11">
        <v>9</v>
      </c>
      <c r="U11">
        <v>14</v>
      </c>
      <c r="Z11">
        <v>10.7232699000014</v>
      </c>
      <c r="AB11">
        <v>10.717232800001501</v>
      </c>
      <c r="AC11">
        <v>10.7232699000014</v>
      </c>
      <c r="AD11">
        <v>10.7232699000014</v>
      </c>
      <c r="AE11">
        <v>12.144880799998599</v>
      </c>
      <c r="AF11">
        <v>1.7666666666666599</v>
      </c>
      <c r="AG11">
        <v>1.42044210000312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>
        <v>120.071370424376</v>
      </c>
      <c r="BC11" t="s">
        <v>60</v>
      </c>
    </row>
    <row r="12" spans="1:55" x14ac:dyDescent="0.3">
      <c r="A12" t="s">
        <v>70</v>
      </c>
      <c r="B12">
        <v>10</v>
      </c>
      <c r="C12">
        <v>10</v>
      </c>
      <c r="D12">
        <v>0</v>
      </c>
      <c r="E12">
        <v>1.7666666666666599</v>
      </c>
      <c r="F12">
        <v>1.7039185000030499</v>
      </c>
      <c r="R12">
        <v>0</v>
      </c>
      <c r="S12">
        <v>10</v>
      </c>
      <c r="T12">
        <v>10</v>
      </c>
      <c r="U12">
        <v>1</v>
      </c>
      <c r="Z12">
        <v>12.1533867999969</v>
      </c>
      <c r="AB12">
        <v>12.147176300000799</v>
      </c>
      <c r="AC12">
        <v>12.1533867999969</v>
      </c>
      <c r="AD12">
        <v>12.1533867999969</v>
      </c>
      <c r="AE12">
        <v>13.859510199996199</v>
      </c>
      <c r="AF12">
        <v>1.7666666666666599</v>
      </c>
      <c r="AG12">
        <v>1.7039185000030499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>
        <v>120.071370424376</v>
      </c>
      <c r="BC12" t="s">
        <v>60</v>
      </c>
    </row>
    <row r="13" spans="1:55" x14ac:dyDescent="0.3">
      <c r="A13" t="s">
        <v>71</v>
      </c>
      <c r="B13">
        <v>11</v>
      </c>
      <c r="C13">
        <v>11</v>
      </c>
      <c r="D13">
        <v>0</v>
      </c>
      <c r="E13">
        <v>1.7666666666666599</v>
      </c>
      <c r="F13">
        <v>2.32573599999886</v>
      </c>
      <c r="R13">
        <v>0</v>
      </c>
      <c r="S13">
        <v>11</v>
      </c>
      <c r="T13">
        <v>11</v>
      </c>
      <c r="U13">
        <v>9</v>
      </c>
      <c r="Z13">
        <v>13.8696382999987</v>
      </c>
      <c r="AB13">
        <v>13.864021699999199</v>
      </c>
      <c r="AC13">
        <v>13.8696382999987</v>
      </c>
      <c r="AD13">
        <v>13.8696382999987</v>
      </c>
      <c r="AE13">
        <v>16.198097399996101</v>
      </c>
      <c r="AF13">
        <v>1.7666666666666599</v>
      </c>
      <c r="AG13">
        <v>2.32573599999886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>
        <v>120.071370424376</v>
      </c>
      <c r="BC13" t="s">
        <v>60</v>
      </c>
    </row>
    <row r="14" spans="1:55" x14ac:dyDescent="0.3">
      <c r="A14" t="s">
        <v>72</v>
      </c>
      <c r="B14">
        <v>12</v>
      </c>
      <c r="C14">
        <v>12</v>
      </c>
      <c r="D14">
        <v>0</v>
      </c>
      <c r="E14">
        <v>1.7666666666666599</v>
      </c>
      <c r="F14">
        <v>0.87190350000309902</v>
      </c>
      <c r="R14">
        <v>0</v>
      </c>
      <c r="S14">
        <v>12</v>
      </c>
      <c r="T14">
        <v>12</v>
      </c>
      <c r="U14">
        <v>4</v>
      </c>
      <c r="Z14">
        <v>16.2094252999959</v>
      </c>
      <c r="AB14">
        <v>16.2033708999952</v>
      </c>
      <c r="AC14">
        <v>16.2094252999959</v>
      </c>
      <c r="AD14">
        <v>16.2094252999959</v>
      </c>
      <c r="AE14">
        <v>17.082957799997502</v>
      </c>
      <c r="AF14">
        <v>1.7666666666666599</v>
      </c>
      <c r="AG14">
        <v>0.87190350000309902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>
        <v>120.071370424376</v>
      </c>
      <c r="BC14" t="s">
        <v>60</v>
      </c>
    </row>
    <row r="15" spans="1:55" x14ac:dyDescent="0.3">
      <c r="A15" t="s">
        <v>73</v>
      </c>
      <c r="B15">
        <v>13</v>
      </c>
      <c r="C15">
        <v>13</v>
      </c>
      <c r="D15">
        <v>0</v>
      </c>
      <c r="E15">
        <v>1.7666666666666599</v>
      </c>
      <c r="F15">
        <v>0.72239610000542598</v>
      </c>
      <c r="R15">
        <v>0</v>
      </c>
      <c r="S15">
        <v>13</v>
      </c>
      <c r="T15">
        <v>13</v>
      </c>
      <c r="U15">
        <v>13</v>
      </c>
      <c r="Z15">
        <v>17.091841900000802</v>
      </c>
      <c r="AB15">
        <v>17.0861107000018</v>
      </c>
      <c r="AC15">
        <v>17.091841900000802</v>
      </c>
      <c r="AD15">
        <v>17.091841900000802</v>
      </c>
      <c r="AE15">
        <v>17.8160605000011</v>
      </c>
      <c r="AF15">
        <v>1.7666666666666599</v>
      </c>
      <c r="AG15">
        <v>0.72239610000542598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>
        <v>120.071370424376</v>
      </c>
      <c r="BC15" t="s">
        <v>60</v>
      </c>
    </row>
    <row r="16" spans="1:55" x14ac:dyDescent="0.3">
      <c r="A16" t="s">
        <v>74</v>
      </c>
      <c r="B16">
        <v>14</v>
      </c>
      <c r="C16">
        <v>14</v>
      </c>
      <c r="D16">
        <v>0</v>
      </c>
      <c r="E16">
        <v>1.7666666666666599</v>
      </c>
      <c r="F16">
        <v>0.62401079999835896</v>
      </c>
      <c r="R16">
        <v>0</v>
      </c>
      <c r="S16">
        <v>14</v>
      </c>
      <c r="T16">
        <v>14</v>
      </c>
      <c r="U16">
        <v>0</v>
      </c>
      <c r="Z16">
        <v>17.8244034000017</v>
      </c>
      <c r="AB16">
        <v>17.818895199998199</v>
      </c>
      <c r="AC16">
        <v>17.8244034000017</v>
      </c>
      <c r="AD16">
        <v>17.8244034000017</v>
      </c>
      <c r="AE16">
        <v>18.450623999997301</v>
      </c>
      <c r="AF16">
        <v>1.7666666666666599</v>
      </c>
      <c r="AG16">
        <v>0.62401079999835896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>
        <v>120.071370424376</v>
      </c>
      <c r="BC16" t="s">
        <v>60</v>
      </c>
    </row>
    <row r="17" spans="2:55" x14ac:dyDescent="0.3">
      <c r="B17">
        <v>0</v>
      </c>
      <c r="C17">
        <v>0</v>
      </c>
      <c r="D17">
        <v>0</v>
      </c>
      <c r="G17" t="s">
        <v>75</v>
      </c>
      <c r="H17" t="s">
        <v>72</v>
      </c>
      <c r="I17" t="s">
        <v>76</v>
      </c>
      <c r="J17" t="s">
        <v>72</v>
      </c>
      <c r="K17" t="s">
        <v>77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V17">
        <v>0</v>
      </c>
      <c r="W17">
        <v>0</v>
      </c>
      <c r="X17">
        <v>0</v>
      </c>
      <c r="Y17">
        <v>10</v>
      </c>
      <c r="Z17">
        <v>18.4688945999951</v>
      </c>
      <c r="AH17">
        <v>18.4595130000016</v>
      </c>
      <c r="AI17">
        <v>18.4688945999951</v>
      </c>
      <c r="AJ17">
        <v>18.4688945999951</v>
      </c>
      <c r="AK17">
        <v>18.4688945999951</v>
      </c>
      <c r="AL17">
        <v>8.8995999976759707E-3</v>
      </c>
      <c r="AM17">
        <v>24.015919099998399</v>
      </c>
      <c r="AN17" t="s">
        <v>72</v>
      </c>
      <c r="AO17" t="s">
        <v>77</v>
      </c>
      <c r="AP17" t="s">
        <v>78</v>
      </c>
      <c r="AQ17" t="s">
        <v>79</v>
      </c>
      <c r="AR17" t="s">
        <v>80</v>
      </c>
      <c r="AS17" t="s">
        <v>80</v>
      </c>
      <c r="AT17" t="s">
        <v>81</v>
      </c>
      <c r="AU17" t="s">
        <v>82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>
        <v>120.071370424376</v>
      </c>
      <c r="BC17" t="s">
        <v>60</v>
      </c>
    </row>
    <row r="18" spans="2:55" x14ac:dyDescent="0.3">
      <c r="B18">
        <v>1</v>
      </c>
      <c r="C18">
        <v>1</v>
      </c>
      <c r="D18">
        <v>0</v>
      </c>
      <c r="G18" t="s">
        <v>83</v>
      </c>
      <c r="H18" t="s">
        <v>84</v>
      </c>
      <c r="I18" t="s">
        <v>85</v>
      </c>
      <c r="J18" t="s">
        <v>84</v>
      </c>
      <c r="K18" t="s">
        <v>86</v>
      </c>
      <c r="L18" t="s">
        <v>87</v>
      </c>
      <c r="M18" t="s">
        <v>88</v>
      </c>
      <c r="N18" t="s">
        <v>89</v>
      </c>
      <c r="O18" t="s">
        <v>89</v>
      </c>
      <c r="P18" t="s">
        <v>90</v>
      </c>
      <c r="Q18" t="s">
        <v>91</v>
      </c>
      <c r="V18">
        <v>0</v>
      </c>
      <c r="W18">
        <v>1</v>
      </c>
      <c r="X18">
        <v>1</v>
      </c>
      <c r="Y18">
        <v>15</v>
      </c>
      <c r="Z18">
        <v>24.025850099998902</v>
      </c>
      <c r="AH18">
        <v>24.019009399999</v>
      </c>
      <c r="AI18">
        <v>24.025850099998902</v>
      </c>
      <c r="AJ18">
        <v>24.025850099998902</v>
      </c>
      <c r="AK18">
        <v>24.025850099998902</v>
      </c>
      <c r="AL18">
        <v>2.89609999890672E-3</v>
      </c>
      <c r="AM18">
        <v>27.489470599997698</v>
      </c>
      <c r="AN18" t="s">
        <v>84</v>
      </c>
      <c r="AO18" t="s">
        <v>86</v>
      </c>
      <c r="AP18" t="s">
        <v>87</v>
      </c>
      <c r="AQ18" t="s">
        <v>88</v>
      </c>
      <c r="AR18" t="s">
        <v>89</v>
      </c>
      <c r="AS18" t="s">
        <v>89</v>
      </c>
      <c r="AT18" t="s">
        <v>90</v>
      </c>
      <c r="AU18" t="s">
        <v>91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>
        <v>120.071370424376</v>
      </c>
      <c r="BC18" t="s">
        <v>60</v>
      </c>
    </row>
    <row r="19" spans="2:55" x14ac:dyDescent="0.3">
      <c r="B19">
        <v>2</v>
      </c>
      <c r="C19">
        <v>2</v>
      </c>
      <c r="D19">
        <v>0</v>
      </c>
      <c r="G19" t="s">
        <v>92</v>
      </c>
      <c r="H19" t="s">
        <v>65</v>
      </c>
      <c r="I19" t="s">
        <v>76</v>
      </c>
      <c r="J19" t="s">
        <v>65</v>
      </c>
      <c r="K19" t="s">
        <v>86</v>
      </c>
      <c r="L19" t="s">
        <v>87</v>
      </c>
      <c r="M19" t="s">
        <v>88</v>
      </c>
      <c r="N19" t="s">
        <v>89</v>
      </c>
      <c r="O19" t="s">
        <v>89</v>
      </c>
      <c r="P19" t="s">
        <v>93</v>
      </c>
      <c r="Q19" t="s">
        <v>91</v>
      </c>
      <c r="V19">
        <v>0</v>
      </c>
      <c r="W19">
        <v>2</v>
      </c>
      <c r="X19">
        <v>2</v>
      </c>
      <c r="Y19">
        <v>6</v>
      </c>
      <c r="Z19">
        <v>27.501059000001899</v>
      </c>
      <c r="AH19">
        <v>27.493438199999201</v>
      </c>
      <c r="AI19">
        <v>27.501059000001899</v>
      </c>
      <c r="AJ19">
        <v>27.501059000001899</v>
      </c>
      <c r="AK19">
        <v>27.501059000001899</v>
      </c>
      <c r="AL19">
        <v>3.84060000214958E-3</v>
      </c>
      <c r="AM19">
        <v>38.315943399997103</v>
      </c>
      <c r="AN19" t="s">
        <v>65</v>
      </c>
      <c r="AO19" t="s">
        <v>86</v>
      </c>
      <c r="AP19" t="s">
        <v>87</v>
      </c>
      <c r="AQ19" t="s">
        <v>88</v>
      </c>
      <c r="AR19" t="s">
        <v>89</v>
      </c>
      <c r="AS19" t="s">
        <v>89</v>
      </c>
      <c r="AT19" t="s">
        <v>93</v>
      </c>
      <c r="AU19" t="s">
        <v>91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>
        <v>120.071370424376</v>
      </c>
      <c r="BC19" t="s">
        <v>60</v>
      </c>
    </row>
    <row r="20" spans="2:55" x14ac:dyDescent="0.3">
      <c r="B20">
        <v>3</v>
      </c>
      <c r="C20">
        <v>3</v>
      </c>
      <c r="D20">
        <v>0</v>
      </c>
      <c r="G20" t="s">
        <v>94</v>
      </c>
      <c r="H20" t="s">
        <v>95</v>
      </c>
      <c r="I20" t="s">
        <v>85</v>
      </c>
      <c r="J20" t="s">
        <v>95</v>
      </c>
      <c r="K20" t="s">
        <v>86</v>
      </c>
      <c r="L20" t="s">
        <v>87</v>
      </c>
      <c r="M20" t="s">
        <v>88</v>
      </c>
      <c r="N20" t="s">
        <v>89</v>
      </c>
      <c r="O20" t="s">
        <v>89</v>
      </c>
      <c r="P20" t="s">
        <v>96</v>
      </c>
      <c r="Q20" t="s">
        <v>91</v>
      </c>
      <c r="V20">
        <v>0</v>
      </c>
      <c r="W20">
        <v>3</v>
      </c>
      <c r="X20">
        <v>3</v>
      </c>
      <c r="Y20">
        <v>17</v>
      </c>
      <c r="Z20">
        <v>38.3324584000001</v>
      </c>
      <c r="AH20">
        <v>38.322100299999803</v>
      </c>
      <c r="AI20">
        <v>38.3324584000001</v>
      </c>
      <c r="AJ20">
        <v>38.3324584000001</v>
      </c>
      <c r="AK20">
        <v>38.3324584000001</v>
      </c>
      <c r="AL20">
        <v>6.0043999983463402E-3</v>
      </c>
      <c r="AM20">
        <v>41.535276099995798</v>
      </c>
      <c r="AN20" t="s">
        <v>95</v>
      </c>
      <c r="AO20" t="s">
        <v>86</v>
      </c>
      <c r="AP20" t="s">
        <v>87</v>
      </c>
      <c r="AQ20" t="s">
        <v>88</v>
      </c>
      <c r="AR20" t="s">
        <v>89</v>
      </c>
      <c r="AS20" t="s">
        <v>89</v>
      </c>
      <c r="AT20" t="s">
        <v>96</v>
      </c>
      <c r="AU20" t="s">
        <v>91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>
        <v>120.071370424376</v>
      </c>
      <c r="BC20" t="s">
        <v>60</v>
      </c>
    </row>
    <row r="21" spans="2:55" x14ac:dyDescent="0.3">
      <c r="B21">
        <v>4</v>
      </c>
      <c r="C21">
        <v>4</v>
      </c>
      <c r="D21">
        <v>0</v>
      </c>
      <c r="G21" t="s">
        <v>97</v>
      </c>
      <c r="H21" t="s">
        <v>70</v>
      </c>
      <c r="I21" t="s">
        <v>76</v>
      </c>
      <c r="J21" t="s">
        <v>70</v>
      </c>
      <c r="K21" t="s">
        <v>98</v>
      </c>
      <c r="L21" t="s">
        <v>99</v>
      </c>
      <c r="M21" t="s">
        <v>88</v>
      </c>
      <c r="N21" t="s">
        <v>89</v>
      </c>
      <c r="O21" t="s">
        <v>89</v>
      </c>
      <c r="P21" t="s">
        <v>100</v>
      </c>
      <c r="Q21" t="s">
        <v>91</v>
      </c>
      <c r="V21">
        <v>0</v>
      </c>
      <c r="W21">
        <v>4</v>
      </c>
      <c r="X21">
        <v>4</v>
      </c>
      <c r="Y21">
        <v>14</v>
      </c>
      <c r="Z21">
        <v>41.546787300001597</v>
      </c>
      <c r="AH21">
        <v>41.538929900001598</v>
      </c>
      <c r="AI21">
        <v>41.546787300001597</v>
      </c>
      <c r="AJ21">
        <v>41.546787300001597</v>
      </c>
      <c r="AK21">
        <v>41.546787300001597</v>
      </c>
      <c r="AL21">
        <v>3.5067999997409E-3</v>
      </c>
      <c r="AM21">
        <v>48.455567199998697</v>
      </c>
      <c r="AN21" t="s">
        <v>70</v>
      </c>
      <c r="AO21" t="s">
        <v>98</v>
      </c>
      <c r="AP21" t="s">
        <v>99</v>
      </c>
      <c r="AQ21" t="s">
        <v>88</v>
      </c>
      <c r="AR21" t="s">
        <v>89</v>
      </c>
      <c r="AS21" t="s">
        <v>89</v>
      </c>
      <c r="AT21" t="s">
        <v>100</v>
      </c>
      <c r="AU21" t="s">
        <v>91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>
        <v>120.071370424376</v>
      </c>
      <c r="BC21" t="s">
        <v>60</v>
      </c>
    </row>
    <row r="22" spans="2:55" x14ac:dyDescent="0.3">
      <c r="B22">
        <v>5</v>
      </c>
      <c r="C22">
        <v>5</v>
      </c>
      <c r="D22">
        <v>0</v>
      </c>
      <c r="G22" t="s">
        <v>101</v>
      </c>
      <c r="H22" t="s">
        <v>69</v>
      </c>
      <c r="I22" t="s">
        <v>76</v>
      </c>
      <c r="J22" t="s">
        <v>69</v>
      </c>
      <c r="K22" t="s">
        <v>98</v>
      </c>
      <c r="L22" t="s">
        <v>99</v>
      </c>
      <c r="M22" t="s">
        <v>88</v>
      </c>
      <c r="N22" t="s">
        <v>89</v>
      </c>
      <c r="O22" t="s">
        <v>89</v>
      </c>
      <c r="P22" t="s">
        <v>102</v>
      </c>
      <c r="Q22" t="s">
        <v>91</v>
      </c>
      <c r="V22">
        <v>0</v>
      </c>
      <c r="W22">
        <v>5</v>
      </c>
      <c r="X22">
        <v>5</v>
      </c>
      <c r="Y22">
        <v>9</v>
      </c>
      <c r="Z22">
        <v>48.467564599995903</v>
      </c>
      <c r="AH22">
        <v>48.459437199999201</v>
      </c>
      <c r="AI22">
        <v>48.467564599995903</v>
      </c>
      <c r="AJ22">
        <v>48.467564599995903</v>
      </c>
      <c r="AK22">
        <v>48.467564599995903</v>
      </c>
      <c r="AL22">
        <v>3.7263999984133902E-3</v>
      </c>
      <c r="AM22">
        <v>53.396926499997697</v>
      </c>
      <c r="AN22" t="s">
        <v>69</v>
      </c>
      <c r="AO22" t="s">
        <v>98</v>
      </c>
      <c r="AP22" t="s">
        <v>99</v>
      </c>
      <c r="AQ22" t="s">
        <v>88</v>
      </c>
      <c r="AR22" t="s">
        <v>89</v>
      </c>
      <c r="AS22" t="s">
        <v>89</v>
      </c>
      <c r="AT22" t="s">
        <v>102</v>
      </c>
      <c r="AU22" t="s">
        <v>91</v>
      </c>
      <c r="AV22" t="s">
        <v>56</v>
      </c>
      <c r="AW22">
        <v>1</v>
      </c>
      <c r="AX22" t="s">
        <v>57</v>
      </c>
      <c r="AY22" t="s">
        <v>58</v>
      </c>
      <c r="BA22" t="s">
        <v>59</v>
      </c>
      <c r="BB22">
        <v>120.071370424376</v>
      </c>
      <c r="BC22" t="s">
        <v>60</v>
      </c>
    </row>
    <row r="23" spans="2:55" x14ac:dyDescent="0.3">
      <c r="B23">
        <v>6</v>
      </c>
      <c r="C23">
        <v>6</v>
      </c>
      <c r="D23">
        <v>0</v>
      </c>
      <c r="G23" t="s">
        <v>103</v>
      </c>
      <c r="H23" t="s">
        <v>63</v>
      </c>
      <c r="I23" t="s">
        <v>76</v>
      </c>
      <c r="J23" t="s">
        <v>63</v>
      </c>
      <c r="K23" t="s">
        <v>104</v>
      </c>
      <c r="L23" t="s">
        <v>105</v>
      </c>
      <c r="M23" t="s">
        <v>88</v>
      </c>
      <c r="N23" t="s">
        <v>89</v>
      </c>
      <c r="O23" t="s">
        <v>89</v>
      </c>
      <c r="P23" t="s">
        <v>106</v>
      </c>
      <c r="Q23" t="s">
        <v>91</v>
      </c>
      <c r="V23">
        <v>0</v>
      </c>
      <c r="W23">
        <v>6</v>
      </c>
      <c r="X23">
        <v>6</v>
      </c>
      <c r="Y23">
        <v>1</v>
      </c>
      <c r="Z23">
        <v>53.408307400000901</v>
      </c>
      <c r="AH23">
        <v>53.400615899998201</v>
      </c>
      <c r="AI23">
        <v>53.408307400000901</v>
      </c>
      <c r="AJ23">
        <v>53.408307400000901</v>
      </c>
      <c r="AK23">
        <v>53.408307400000901</v>
      </c>
      <c r="AL23">
        <v>3.5281999953440299E-3</v>
      </c>
      <c r="AM23">
        <v>58.5126472999982</v>
      </c>
      <c r="AN23" t="s">
        <v>63</v>
      </c>
      <c r="AO23" t="s">
        <v>104</v>
      </c>
      <c r="AP23" t="s">
        <v>105</v>
      </c>
      <c r="AQ23" t="s">
        <v>88</v>
      </c>
      <c r="AR23" t="s">
        <v>89</v>
      </c>
      <c r="AS23" t="s">
        <v>89</v>
      </c>
      <c r="AT23" t="s">
        <v>106</v>
      </c>
      <c r="AU23" t="s">
        <v>91</v>
      </c>
      <c r="AV23" t="s">
        <v>56</v>
      </c>
      <c r="AW23">
        <v>1</v>
      </c>
      <c r="AX23" t="s">
        <v>57</v>
      </c>
      <c r="AY23" t="s">
        <v>58</v>
      </c>
      <c r="BA23" t="s">
        <v>59</v>
      </c>
      <c r="BB23">
        <v>120.071370424376</v>
      </c>
      <c r="BC23" t="s">
        <v>60</v>
      </c>
    </row>
    <row r="24" spans="2:55" x14ac:dyDescent="0.3">
      <c r="B24">
        <v>7</v>
      </c>
      <c r="C24">
        <v>7</v>
      </c>
      <c r="D24">
        <v>0</v>
      </c>
      <c r="G24" t="s">
        <v>107</v>
      </c>
      <c r="H24" t="s">
        <v>108</v>
      </c>
      <c r="I24" t="s">
        <v>85</v>
      </c>
      <c r="J24" t="s">
        <v>108</v>
      </c>
      <c r="K24" t="s">
        <v>104</v>
      </c>
      <c r="L24" t="s">
        <v>105</v>
      </c>
      <c r="M24" t="s">
        <v>88</v>
      </c>
      <c r="N24" t="s">
        <v>89</v>
      </c>
      <c r="O24" t="s">
        <v>89</v>
      </c>
      <c r="P24" t="s">
        <v>109</v>
      </c>
      <c r="Q24" t="s">
        <v>91</v>
      </c>
      <c r="V24">
        <v>0</v>
      </c>
      <c r="W24">
        <v>7</v>
      </c>
      <c r="X24">
        <v>7</v>
      </c>
      <c r="Y24">
        <v>18</v>
      </c>
      <c r="Z24">
        <v>58.5240135999993</v>
      </c>
      <c r="AH24">
        <v>58.516156199999301</v>
      </c>
      <c r="AI24">
        <v>58.5240135999993</v>
      </c>
      <c r="AJ24">
        <v>58.5240135999993</v>
      </c>
      <c r="AK24">
        <v>58.5240135999993</v>
      </c>
      <c r="AL24">
        <v>3.3629000026849099E-3</v>
      </c>
      <c r="AM24">
        <v>67.338956699997595</v>
      </c>
      <c r="AN24" t="s">
        <v>108</v>
      </c>
      <c r="AO24" t="s">
        <v>104</v>
      </c>
      <c r="AP24" t="s">
        <v>105</v>
      </c>
      <c r="AQ24" t="s">
        <v>88</v>
      </c>
      <c r="AR24" t="s">
        <v>89</v>
      </c>
      <c r="AS24" t="s">
        <v>89</v>
      </c>
      <c r="AT24" t="s">
        <v>109</v>
      </c>
      <c r="AU24" t="s">
        <v>91</v>
      </c>
      <c r="AV24" t="s">
        <v>56</v>
      </c>
      <c r="AW24">
        <v>1</v>
      </c>
      <c r="AX24" t="s">
        <v>57</v>
      </c>
      <c r="AY24" t="s">
        <v>58</v>
      </c>
      <c r="BA24" t="s">
        <v>59</v>
      </c>
      <c r="BB24">
        <v>120.071370424376</v>
      </c>
      <c r="BC24" t="s">
        <v>60</v>
      </c>
    </row>
    <row r="25" spans="2:55" x14ac:dyDescent="0.3">
      <c r="B25">
        <v>8</v>
      </c>
      <c r="C25">
        <v>8</v>
      </c>
      <c r="D25">
        <v>0</v>
      </c>
      <c r="G25" t="s">
        <v>110</v>
      </c>
      <c r="H25" t="s">
        <v>68</v>
      </c>
      <c r="I25" t="s">
        <v>76</v>
      </c>
      <c r="K25" t="s">
        <v>104</v>
      </c>
      <c r="L25" t="s">
        <v>105</v>
      </c>
      <c r="M25" t="s">
        <v>88</v>
      </c>
      <c r="N25" t="s">
        <v>89</v>
      </c>
      <c r="O25" t="s">
        <v>89</v>
      </c>
      <c r="P25" t="s">
        <v>111</v>
      </c>
      <c r="Q25" t="s">
        <v>91</v>
      </c>
      <c r="V25">
        <v>0</v>
      </c>
      <c r="W25">
        <v>8</v>
      </c>
      <c r="X25">
        <v>8</v>
      </c>
      <c r="Y25">
        <v>5</v>
      </c>
      <c r="Z25">
        <v>67.350132200001099</v>
      </c>
      <c r="AH25">
        <v>67.342122000001794</v>
      </c>
      <c r="AI25">
        <v>67.350132200001099</v>
      </c>
      <c r="AJ25">
        <v>67.350132200001099</v>
      </c>
      <c r="AK25">
        <v>67.350132200001099</v>
      </c>
      <c r="AL25">
        <v>3.0091000007814702E-3</v>
      </c>
      <c r="AM25">
        <v>67.614039100000795</v>
      </c>
      <c r="AO25" t="s">
        <v>104</v>
      </c>
      <c r="AP25" t="s">
        <v>105</v>
      </c>
      <c r="AQ25" t="s">
        <v>88</v>
      </c>
      <c r="AR25" t="s">
        <v>89</v>
      </c>
      <c r="AS25" t="s">
        <v>89</v>
      </c>
      <c r="AT25" t="s">
        <v>111</v>
      </c>
      <c r="AU25" t="s">
        <v>91</v>
      </c>
      <c r="AV25" t="s">
        <v>56</v>
      </c>
      <c r="AW25">
        <v>1</v>
      </c>
      <c r="AX25" t="s">
        <v>57</v>
      </c>
      <c r="AY25" t="s">
        <v>58</v>
      </c>
      <c r="BA25" t="s">
        <v>59</v>
      </c>
      <c r="BB25">
        <v>120.071370424376</v>
      </c>
      <c r="BC25" t="s">
        <v>60</v>
      </c>
    </row>
    <row r="26" spans="2:55" x14ac:dyDescent="0.3">
      <c r="B26">
        <v>9</v>
      </c>
      <c r="C26">
        <v>9</v>
      </c>
      <c r="D26">
        <v>0</v>
      </c>
      <c r="G26" t="s">
        <v>112</v>
      </c>
      <c r="H26" t="s">
        <v>113</v>
      </c>
      <c r="I26" t="s">
        <v>76</v>
      </c>
      <c r="J26" t="s">
        <v>113</v>
      </c>
      <c r="K26" t="s">
        <v>104</v>
      </c>
      <c r="L26" t="s">
        <v>105</v>
      </c>
      <c r="M26" t="s">
        <v>88</v>
      </c>
      <c r="N26" t="s">
        <v>89</v>
      </c>
      <c r="O26" t="s">
        <v>89</v>
      </c>
      <c r="P26" t="s">
        <v>114</v>
      </c>
      <c r="Q26" t="s">
        <v>91</v>
      </c>
      <c r="V26">
        <v>0</v>
      </c>
      <c r="W26">
        <v>9</v>
      </c>
      <c r="X26">
        <v>9</v>
      </c>
      <c r="Y26">
        <v>2</v>
      </c>
      <c r="Z26">
        <v>67.625174599997905</v>
      </c>
      <c r="AH26">
        <v>67.6179486999972</v>
      </c>
      <c r="AI26">
        <v>67.625174599997905</v>
      </c>
      <c r="AJ26">
        <v>67.625174599997905</v>
      </c>
      <c r="AK26">
        <v>67.625174599997905</v>
      </c>
      <c r="AL26">
        <v>3.1428000002051699E-3</v>
      </c>
      <c r="AM26">
        <v>73.486765699999495</v>
      </c>
      <c r="AN26" t="s">
        <v>113</v>
      </c>
      <c r="AO26" t="s">
        <v>104</v>
      </c>
      <c r="AP26" t="s">
        <v>105</v>
      </c>
      <c r="AQ26" t="s">
        <v>88</v>
      </c>
      <c r="AR26" t="s">
        <v>89</v>
      </c>
      <c r="AS26" t="s">
        <v>89</v>
      </c>
      <c r="AT26" t="s">
        <v>114</v>
      </c>
      <c r="AU26" t="s">
        <v>91</v>
      </c>
      <c r="AV26" t="s">
        <v>56</v>
      </c>
      <c r="AW26">
        <v>1</v>
      </c>
      <c r="AX26" t="s">
        <v>57</v>
      </c>
      <c r="AY26" t="s">
        <v>58</v>
      </c>
      <c r="BA26" t="s">
        <v>59</v>
      </c>
      <c r="BB26">
        <v>120.071370424376</v>
      </c>
      <c r="BC26" t="s">
        <v>60</v>
      </c>
    </row>
    <row r="27" spans="2:55" x14ac:dyDescent="0.3">
      <c r="B27">
        <v>10</v>
      </c>
      <c r="C27">
        <v>10</v>
      </c>
      <c r="D27">
        <v>0</v>
      </c>
      <c r="G27" t="s">
        <v>115</v>
      </c>
      <c r="H27" t="s">
        <v>61</v>
      </c>
      <c r="I27" t="s">
        <v>76</v>
      </c>
      <c r="J27" t="s">
        <v>61</v>
      </c>
      <c r="K27" t="s">
        <v>104</v>
      </c>
      <c r="L27" t="s">
        <v>105</v>
      </c>
      <c r="M27" t="s">
        <v>88</v>
      </c>
      <c r="N27" t="s">
        <v>89</v>
      </c>
      <c r="O27" t="s">
        <v>89</v>
      </c>
      <c r="P27" t="s">
        <v>116</v>
      </c>
      <c r="Q27" t="s">
        <v>91</v>
      </c>
      <c r="V27">
        <v>0</v>
      </c>
      <c r="W27">
        <v>10</v>
      </c>
      <c r="X27">
        <v>10</v>
      </c>
      <c r="Y27">
        <v>7</v>
      </c>
      <c r="Z27">
        <v>73.496606100001301</v>
      </c>
      <c r="AH27">
        <v>73.489714499999494</v>
      </c>
      <c r="AI27">
        <v>73.496606100001301</v>
      </c>
      <c r="AJ27">
        <v>73.496606100001301</v>
      </c>
      <c r="AK27">
        <v>73.496606100001301</v>
      </c>
      <c r="AL27">
        <v>2.8093000000808301E-3</v>
      </c>
      <c r="AM27">
        <v>77.655395499998093</v>
      </c>
      <c r="AN27" t="s">
        <v>61</v>
      </c>
      <c r="AO27" t="s">
        <v>104</v>
      </c>
      <c r="AP27" t="s">
        <v>105</v>
      </c>
      <c r="AQ27" t="s">
        <v>88</v>
      </c>
      <c r="AR27" t="s">
        <v>89</v>
      </c>
      <c r="AS27" t="s">
        <v>89</v>
      </c>
      <c r="AT27" t="s">
        <v>116</v>
      </c>
      <c r="AU27" t="s">
        <v>91</v>
      </c>
      <c r="AV27" t="s">
        <v>56</v>
      </c>
      <c r="AW27">
        <v>1</v>
      </c>
      <c r="AX27" t="s">
        <v>57</v>
      </c>
      <c r="AY27" t="s">
        <v>58</v>
      </c>
      <c r="BA27" t="s">
        <v>59</v>
      </c>
      <c r="BB27">
        <v>120.071370424376</v>
      </c>
      <c r="BC27" t="s">
        <v>60</v>
      </c>
    </row>
    <row r="28" spans="2:55" x14ac:dyDescent="0.3">
      <c r="B28">
        <v>11</v>
      </c>
      <c r="C28">
        <v>11</v>
      </c>
      <c r="D28">
        <v>0</v>
      </c>
      <c r="G28" t="s">
        <v>117</v>
      </c>
      <c r="H28" t="s">
        <v>74</v>
      </c>
      <c r="I28" t="s">
        <v>76</v>
      </c>
      <c r="J28" t="s">
        <v>74</v>
      </c>
      <c r="K28" t="s">
        <v>104</v>
      </c>
      <c r="L28" t="s">
        <v>105</v>
      </c>
      <c r="M28" t="s">
        <v>88</v>
      </c>
      <c r="N28" t="s">
        <v>89</v>
      </c>
      <c r="O28" t="s">
        <v>89</v>
      </c>
      <c r="P28" t="s">
        <v>118</v>
      </c>
      <c r="Q28" t="s">
        <v>91</v>
      </c>
      <c r="V28">
        <v>0</v>
      </c>
      <c r="W28">
        <v>11</v>
      </c>
      <c r="X28">
        <v>11</v>
      </c>
      <c r="Y28">
        <v>13</v>
      </c>
      <c r="Z28">
        <v>77.666918700000593</v>
      </c>
      <c r="AH28">
        <v>77.658854799999901</v>
      </c>
      <c r="AI28">
        <v>77.666918700000593</v>
      </c>
      <c r="AJ28">
        <v>77.666918700000593</v>
      </c>
      <c r="AK28">
        <v>77.666918700000593</v>
      </c>
      <c r="AL28">
        <v>3.26479999785078E-3</v>
      </c>
      <c r="AM28">
        <v>81.846729500000905</v>
      </c>
      <c r="AN28" t="s">
        <v>74</v>
      </c>
      <c r="AO28" t="s">
        <v>104</v>
      </c>
      <c r="AP28" t="s">
        <v>105</v>
      </c>
      <c r="AQ28" t="s">
        <v>88</v>
      </c>
      <c r="AR28" t="s">
        <v>89</v>
      </c>
      <c r="AS28" t="s">
        <v>89</v>
      </c>
      <c r="AT28" t="s">
        <v>118</v>
      </c>
      <c r="AU28" t="s">
        <v>91</v>
      </c>
      <c r="AV28" t="s">
        <v>56</v>
      </c>
      <c r="AW28">
        <v>1</v>
      </c>
      <c r="AX28" t="s">
        <v>57</v>
      </c>
      <c r="AY28" t="s">
        <v>58</v>
      </c>
      <c r="BA28" t="s">
        <v>59</v>
      </c>
      <c r="BB28">
        <v>120.071370424376</v>
      </c>
      <c r="BC28" t="s">
        <v>60</v>
      </c>
    </row>
    <row r="29" spans="2:55" x14ac:dyDescent="0.3">
      <c r="B29">
        <v>12</v>
      </c>
      <c r="C29">
        <v>12</v>
      </c>
      <c r="D29">
        <v>0</v>
      </c>
      <c r="G29" t="s">
        <v>119</v>
      </c>
      <c r="H29" t="s">
        <v>120</v>
      </c>
      <c r="I29" t="s">
        <v>85</v>
      </c>
      <c r="J29" t="s">
        <v>120</v>
      </c>
      <c r="K29" t="s">
        <v>104</v>
      </c>
      <c r="L29" t="s">
        <v>105</v>
      </c>
      <c r="M29" t="s">
        <v>88</v>
      </c>
      <c r="N29" t="s">
        <v>89</v>
      </c>
      <c r="O29" t="s">
        <v>89</v>
      </c>
      <c r="P29" t="s">
        <v>121</v>
      </c>
      <c r="Q29" t="s">
        <v>91</v>
      </c>
      <c r="V29">
        <v>0</v>
      </c>
      <c r="W29">
        <v>12</v>
      </c>
      <c r="X29">
        <v>12</v>
      </c>
      <c r="Y29">
        <v>19</v>
      </c>
      <c r="Z29">
        <v>81.858470599996494</v>
      </c>
      <c r="AH29">
        <v>81.850289499998297</v>
      </c>
      <c r="AI29">
        <v>81.858470599996494</v>
      </c>
      <c r="AJ29">
        <v>81.858470599996494</v>
      </c>
      <c r="AK29">
        <v>81.858470599996494</v>
      </c>
      <c r="AL29">
        <v>3.4047000008285899E-3</v>
      </c>
      <c r="AM29">
        <v>85.807209499995196</v>
      </c>
      <c r="AN29" t="s">
        <v>120</v>
      </c>
      <c r="AO29" t="s">
        <v>104</v>
      </c>
      <c r="AP29" t="s">
        <v>105</v>
      </c>
      <c r="AQ29" t="s">
        <v>88</v>
      </c>
      <c r="AR29" t="s">
        <v>89</v>
      </c>
      <c r="AS29" t="s">
        <v>89</v>
      </c>
      <c r="AT29" t="s">
        <v>121</v>
      </c>
      <c r="AU29" t="s">
        <v>91</v>
      </c>
      <c r="AV29" t="s">
        <v>56</v>
      </c>
      <c r="AW29">
        <v>1</v>
      </c>
      <c r="AX29" t="s">
        <v>57</v>
      </c>
      <c r="AY29" t="s">
        <v>58</v>
      </c>
      <c r="BA29" t="s">
        <v>59</v>
      </c>
      <c r="BB29">
        <v>120.071370424376</v>
      </c>
      <c r="BC29" t="s">
        <v>60</v>
      </c>
    </row>
    <row r="30" spans="2:55" x14ac:dyDescent="0.3">
      <c r="B30">
        <v>13</v>
      </c>
      <c r="C30">
        <v>13</v>
      </c>
      <c r="D30">
        <v>0</v>
      </c>
      <c r="G30" t="s">
        <v>122</v>
      </c>
      <c r="H30" t="s">
        <v>64</v>
      </c>
      <c r="I30" t="s">
        <v>76</v>
      </c>
      <c r="J30" t="s">
        <v>64</v>
      </c>
      <c r="K30" t="s">
        <v>104</v>
      </c>
      <c r="L30" t="s">
        <v>105</v>
      </c>
      <c r="M30" t="s">
        <v>88</v>
      </c>
      <c r="N30" t="s">
        <v>89</v>
      </c>
      <c r="O30" t="s">
        <v>89</v>
      </c>
      <c r="P30" t="s">
        <v>123</v>
      </c>
      <c r="Q30" t="s">
        <v>91</v>
      </c>
      <c r="V30">
        <v>0</v>
      </c>
      <c r="W30">
        <v>13</v>
      </c>
      <c r="X30">
        <v>13</v>
      </c>
      <c r="Y30">
        <v>0</v>
      </c>
      <c r="Z30">
        <v>85.821512399997999</v>
      </c>
      <c r="AH30">
        <v>85.810706899996106</v>
      </c>
      <c r="AI30">
        <v>85.821512399997999</v>
      </c>
      <c r="AJ30">
        <v>85.821512399997999</v>
      </c>
      <c r="AK30">
        <v>85.821512399997999</v>
      </c>
      <c r="AL30">
        <v>3.35750000522239E-3</v>
      </c>
      <c r="AM30">
        <v>91.455863199997097</v>
      </c>
      <c r="AN30" t="s">
        <v>64</v>
      </c>
      <c r="AO30" t="s">
        <v>104</v>
      </c>
      <c r="AP30" t="s">
        <v>105</v>
      </c>
      <c r="AQ30" t="s">
        <v>88</v>
      </c>
      <c r="AR30" t="s">
        <v>89</v>
      </c>
      <c r="AS30" t="s">
        <v>89</v>
      </c>
      <c r="AT30" t="s">
        <v>123</v>
      </c>
      <c r="AU30" t="s">
        <v>91</v>
      </c>
      <c r="AV30" t="s">
        <v>56</v>
      </c>
      <c r="AW30">
        <v>1</v>
      </c>
      <c r="AX30" t="s">
        <v>57</v>
      </c>
      <c r="AY30" t="s">
        <v>58</v>
      </c>
      <c r="BA30" t="s">
        <v>59</v>
      </c>
      <c r="BB30">
        <v>120.071370424376</v>
      </c>
      <c r="BC30" t="s">
        <v>60</v>
      </c>
    </row>
    <row r="31" spans="2:55" x14ac:dyDescent="0.3">
      <c r="B31">
        <v>14</v>
      </c>
      <c r="C31">
        <v>14</v>
      </c>
      <c r="D31">
        <v>0</v>
      </c>
      <c r="G31" t="s">
        <v>124</v>
      </c>
      <c r="H31" t="s">
        <v>62</v>
      </c>
      <c r="I31" t="s">
        <v>76</v>
      </c>
      <c r="K31" t="s">
        <v>104</v>
      </c>
      <c r="L31" t="s">
        <v>105</v>
      </c>
      <c r="M31" t="s">
        <v>88</v>
      </c>
      <c r="N31" t="s">
        <v>89</v>
      </c>
      <c r="O31" t="s">
        <v>89</v>
      </c>
      <c r="P31" t="s">
        <v>125</v>
      </c>
      <c r="Q31" t="s">
        <v>91</v>
      </c>
      <c r="V31">
        <v>0</v>
      </c>
      <c r="W31">
        <v>14</v>
      </c>
      <c r="X31">
        <v>14</v>
      </c>
      <c r="Y31">
        <v>12</v>
      </c>
      <c r="Z31">
        <v>91.467149199997905</v>
      </c>
      <c r="AH31">
        <v>91.459375699996599</v>
      </c>
      <c r="AI31">
        <v>91.467149199997905</v>
      </c>
      <c r="AJ31">
        <v>91.467149199997905</v>
      </c>
      <c r="AK31">
        <v>91.467149199997905</v>
      </c>
      <c r="AL31">
        <v>3.3167000001412799E-3</v>
      </c>
      <c r="AM31">
        <v>105.78395639999501</v>
      </c>
      <c r="AO31" t="s">
        <v>104</v>
      </c>
      <c r="AP31" t="s">
        <v>105</v>
      </c>
      <c r="AQ31" t="s">
        <v>88</v>
      </c>
      <c r="AR31" t="s">
        <v>89</v>
      </c>
      <c r="AS31" t="s">
        <v>89</v>
      </c>
      <c r="AT31" t="s">
        <v>125</v>
      </c>
      <c r="AU31" t="s">
        <v>91</v>
      </c>
      <c r="AV31" t="s">
        <v>56</v>
      </c>
      <c r="AW31">
        <v>1</v>
      </c>
      <c r="AX31" t="s">
        <v>57</v>
      </c>
      <c r="AY31" t="s">
        <v>58</v>
      </c>
      <c r="BA31" t="s">
        <v>59</v>
      </c>
      <c r="BB31">
        <v>120.071370424376</v>
      </c>
      <c r="BC31" t="s">
        <v>60</v>
      </c>
    </row>
    <row r="32" spans="2:55" x14ac:dyDescent="0.3">
      <c r="B32">
        <v>15</v>
      </c>
      <c r="C32">
        <v>15</v>
      </c>
      <c r="D32">
        <v>0</v>
      </c>
      <c r="G32" t="s">
        <v>126</v>
      </c>
      <c r="H32" t="s">
        <v>73</v>
      </c>
      <c r="I32" t="s">
        <v>76</v>
      </c>
      <c r="J32" t="s">
        <v>73</v>
      </c>
      <c r="K32" t="s">
        <v>127</v>
      </c>
      <c r="L32" t="s">
        <v>128</v>
      </c>
      <c r="M32" t="s">
        <v>88</v>
      </c>
      <c r="N32" t="s">
        <v>89</v>
      </c>
      <c r="O32" t="s">
        <v>89</v>
      </c>
      <c r="P32" t="s">
        <v>129</v>
      </c>
      <c r="Q32" t="s">
        <v>91</v>
      </c>
      <c r="V32">
        <v>0</v>
      </c>
      <c r="W32">
        <v>15</v>
      </c>
      <c r="X32">
        <v>15</v>
      </c>
      <c r="Y32">
        <v>8</v>
      </c>
      <c r="Z32">
        <v>105.79475909999699</v>
      </c>
      <c r="AH32">
        <v>105.7871505</v>
      </c>
      <c r="AI32">
        <v>105.79475909999699</v>
      </c>
      <c r="AJ32">
        <v>105.79475909999699</v>
      </c>
      <c r="AK32">
        <v>105.79475909999699</v>
      </c>
      <c r="AL32">
        <v>3.0497000043396799E-3</v>
      </c>
      <c r="AM32">
        <v>113.49903739999699</v>
      </c>
      <c r="AN32" t="s">
        <v>73</v>
      </c>
      <c r="AO32" t="s">
        <v>127</v>
      </c>
      <c r="AP32" t="s">
        <v>128</v>
      </c>
      <c r="AQ32" t="s">
        <v>88</v>
      </c>
      <c r="AR32" t="s">
        <v>89</v>
      </c>
      <c r="AS32" t="s">
        <v>89</v>
      </c>
      <c r="AT32" t="s">
        <v>129</v>
      </c>
      <c r="AU32" t="s">
        <v>91</v>
      </c>
      <c r="AV32" t="s">
        <v>56</v>
      </c>
      <c r="AW32">
        <v>1</v>
      </c>
      <c r="AX32" t="s">
        <v>57</v>
      </c>
      <c r="AY32" t="s">
        <v>58</v>
      </c>
      <c r="BA32" t="s">
        <v>59</v>
      </c>
      <c r="BB32">
        <v>120.071370424376</v>
      </c>
      <c r="BC32" t="s">
        <v>60</v>
      </c>
    </row>
    <row r="33" spans="2:55" x14ac:dyDescent="0.3">
      <c r="B33">
        <v>16</v>
      </c>
      <c r="C33">
        <v>16</v>
      </c>
      <c r="D33">
        <v>0</v>
      </c>
      <c r="G33" t="s">
        <v>130</v>
      </c>
      <c r="H33" t="s">
        <v>131</v>
      </c>
      <c r="I33" t="s">
        <v>85</v>
      </c>
      <c r="J33" t="s">
        <v>131</v>
      </c>
      <c r="K33" t="s">
        <v>127</v>
      </c>
      <c r="L33" t="s">
        <v>128</v>
      </c>
      <c r="M33" t="s">
        <v>88</v>
      </c>
      <c r="N33" t="s">
        <v>89</v>
      </c>
      <c r="O33" t="s">
        <v>89</v>
      </c>
      <c r="P33" t="s">
        <v>132</v>
      </c>
      <c r="Q33" t="s">
        <v>91</v>
      </c>
      <c r="V33">
        <v>0</v>
      </c>
      <c r="W33">
        <v>16</v>
      </c>
      <c r="X33">
        <v>16</v>
      </c>
      <c r="Y33">
        <v>16</v>
      </c>
      <c r="Z33">
        <v>113.51053799999499</v>
      </c>
      <c r="AH33">
        <v>113.502814599996</v>
      </c>
      <c r="AI33">
        <v>113.51053799999499</v>
      </c>
      <c r="AJ33">
        <v>113.51053799999499</v>
      </c>
      <c r="AK33">
        <v>113.51053799999499</v>
      </c>
      <c r="AL33">
        <v>3.6032999996677899E-3</v>
      </c>
      <c r="AM33">
        <v>117.824286199997</v>
      </c>
      <c r="AN33" t="s">
        <v>131</v>
      </c>
      <c r="AO33" t="s">
        <v>127</v>
      </c>
      <c r="AP33" t="s">
        <v>128</v>
      </c>
      <c r="AQ33" t="s">
        <v>88</v>
      </c>
      <c r="AR33" t="s">
        <v>89</v>
      </c>
      <c r="AS33" t="s">
        <v>89</v>
      </c>
      <c r="AT33" t="s">
        <v>132</v>
      </c>
      <c r="AU33" t="s">
        <v>91</v>
      </c>
      <c r="AV33" t="s">
        <v>56</v>
      </c>
      <c r="AW33">
        <v>1</v>
      </c>
      <c r="AX33" t="s">
        <v>57</v>
      </c>
      <c r="AY33" t="s">
        <v>58</v>
      </c>
      <c r="BA33" t="s">
        <v>59</v>
      </c>
      <c r="BB33">
        <v>120.071370424376</v>
      </c>
      <c r="BC33" t="s">
        <v>60</v>
      </c>
    </row>
    <row r="34" spans="2:55" x14ac:dyDescent="0.3">
      <c r="B34">
        <v>17</v>
      </c>
      <c r="C34">
        <v>17</v>
      </c>
      <c r="D34">
        <v>0</v>
      </c>
      <c r="G34" t="s">
        <v>133</v>
      </c>
      <c r="H34" t="s">
        <v>71</v>
      </c>
      <c r="I34" t="s">
        <v>76</v>
      </c>
      <c r="J34" t="s">
        <v>71</v>
      </c>
      <c r="K34" t="s">
        <v>127</v>
      </c>
      <c r="L34" t="s">
        <v>128</v>
      </c>
      <c r="M34" t="s">
        <v>88</v>
      </c>
      <c r="N34" t="s">
        <v>89</v>
      </c>
      <c r="O34" t="s">
        <v>89</v>
      </c>
      <c r="P34" t="s">
        <v>134</v>
      </c>
      <c r="Q34" t="s">
        <v>91</v>
      </c>
      <c r="V34">
        <v>0</v>
      </c>
      <c r="W34">
        <v>17</v>
      </c>
      <c r="X34">
        <v>17</v>
      </c>
      <c r="Y34">
        <v>4</v>
      </c>
      <c r="Z34">
        <v>117.83619819999799</v>
      </c>
      <c r="AH34">
        <v>117.82773969999801</v>
      </c>
      <c r="AI34">
        <v>117.83619819999799</v>
      </c>
      <c r="AJ34">
        <v>117.83619819999799</v>
      </c>
      <c r="AK34">
        <v>117.83619819999799</v>
      </c>
      <c r="AL34">
        <v>3.2779000030132002E-3</v>
      </c>
      <c r="AM34">
        <v>140.210165799995</v>
      </c>
      <c r="AN34" t="s">
        <v>71</v>
      </c>
      <c r="AO34" t="s">
        <v>127</v>
      </c>
      <c r="AP34" t="s">
        <v>128</v>
      </c>
      <c r="AQ34" t="s">
        <v>88</v>
      </c>
      <c r="AR34" t="s">
        <v>89</v>
      </c>
      <c r="AS34" t="s">
        <v>89</v>
      </c>
      <c r="AT34" t="s">
        <v>134</v>
      </c>
      <c r="AU34" t="s">
        <v>91</v>
      </c>
      <c r="AV34" t="s">
        <v>56</v>
      </c>
      <c r="AW34">
        <v>1</v>
      </c>
      <c r="AX34" t="s">
        <v>57</v>
      </c>
      <c r="AY34" t="s">
        <v>58</v>
      </c>
      <c r="BA34" t="s">
        <v>59</v>
      </c>
      <c r="BB34">
        <v>120.071370424376</v>
      </c>
      <c r="BC34" t="s">
        <v>60</v>
      </c>
    </row>
    <row r="35" spans="2:55" x14ac:dyDescent="0.3">
      <c r="B35">
        <v>18</v>
      </c>
      <c r="C35">
        <v>18</v>
      </c>
      <c r="D35">
        <v>0</v>
      </c>
      <c r="G35" t="s">
        <v>135</v>
      </c>
      <c r="H35" t="s">
        <v>67</v>
      </c>
      <c r="I35" t="s">
        <v>76</v>
      </c>
      <c r="J35" t="s">
        <v>67</v>
      </c>
      <c r="K35" t="s">
        <v>127</v>
      </c>
      <c r="L35" t="s">
        <v>128</v>
      </c>
      <c r="M35" t="s">
        <v>88</v>
      </c>
      <c r="N35" t="s">
        <v>89</v>
      </c>
      <c r="O35" t="s">
        <v>89</v>
      </c>
      <c r="P35" t="s">
        <v>136</v>
      </c>
      <c r="Q35" t="s">
        <v>91</v>
      </c>
      <c r="V35">
        <v>0</v>
      </c>
      <c r="W35">
        <v>18</v>
      </c>
      <c r="X35">
        <v>18</v>
      </c>
      <c r="Y35">
        <v>11</v>
      </c>
      <c r="Z35">
        <v>140.22148509999499</v>
      </c>
      <c r="AH35">
        <v>140.213666099996</v>
      </c>
      <c r="AI35">
        <v>140.22148509999499</v>
      </c>
      <c r="AJ35">
        <v>140.22148509999499</v>
      </c>
      <c r="AK35">
        <v>140.22148509999499</v>
      </c>
      <c r="AL35">
        <v>3.35780000023078E-3</v>
      </c>
      <c r="AM35">
        <v>146.29892309999499</v>
      </c>
      <c r="AN35" t="s">
        <v>67</v>
      </c>
      <c r="AO35" t="s">
        <v>127</v>
      </c>
      <c r="AP35" t="s">
        <v>128</v>
      </c>
      <c r="AQ35" t="s">
        <v>88</v>
      </c>
      <c r="AR35" t="s">
        <v>89</v>
      </c>
      <c r="AS35" t="s">
        <v>89</v>
      </c>
      <c r="AT35" t="s">
        <v>136</v>
      </c>
      <c r="AU35" t="s">
        <v>91</v>
      </c>
      <c r="AV35" t="s">
        <v>56</v>
      </c>
      <c r="AW35">
        <v>1</v>
      </c>
      <c r="AX35" t="s">
        <v>57</v>
      </c>
      <c r="AY35" t="s">
        <v>58</v>
      </c>
      <c r="BA35" t="s">
        <v>59</v>
      </c>
      <c r="BB35">
        <v>120.071370424376</v>
      </c>
      <c r="BC35" t="s">
        <v>60</v>
      </c>
    </row>
    <row r="36" spans="2:55" x14ac:dyDescent="0.3">
      <c r="B36">
        <v>19</v>
      </c>
      <c r="C36">
        <v>19</v>
      </c>
      <c r="D36">
        <v>0</v>
      </c>
      <c r="G36" t="s">
        <v>137</v>
      </c>
      <c r="H36" t="s">
        <v>55</v>
      </c>
      <c r="I36" t="s">
        <v>76</v>
      </c>
      <c r="J36" t="s">
        <v>55</v>
      </c>
      <c r="K36" t="s">
        <v>127</v>
      </c>
      <c r="L36" t="s">
        <v>128</v>
      </c>
      <c r="M36" t="s">
        <v>88</v>
      </c>
      <c r="N36" t="s">
        <v>89</v>
      </c>
      <c r="O36" t="s">
        <v>89</v>
      </c>
      <c r="P36" t="s">
        <v>138</v>
      </c>
      <c r="Q36" t="s">
        <v>91</v>
      </c>
      <c r="V36">
        <v>0</v>
      </c>
      <c r="W36">
        <v>19</v>
      </c>
      <c r="X36">
        <v>19</v>
      </c>
      <c r="Y36">
        <v>3</v>
      </c>
      <c r="Z36">
        <v>146.310823399995</v>
      </c>
      <c r="AH36">
        <v>146.30243530000001</v>
      </c>
      <c r="AI36">
        <v>146.310823399995</v>
      </c>
      <c r="AJ36">
        <v>146.310823399995</v>
      </c>
      <c r="AK36">
        <v>146.310823399995</v>
      </c>
      <c r="AL36">
        <v>3.33699999464442E-3</v>
      </c>
      <c r="AM36">
        <v>150.23408719999799</v>
      </c>
      <c r="AN36" t="s">
        <v>55</v>
      </c>
      <c r="AO36" t="s">
        <v>127</v>
      </c>
      <c r="AP36" t="s">
        <v>128</v>
      </c>
      <c r="AQ36" t="s">
        <v>88</v>
      </c>
      <c r="AR36" t="s">
        <v>89</v>
      </c>
      <c r="AS36" t="s">
        <v>89</v>
      </c>
      <c r="AT36" t="s">
        <v>138</v>
      </c>
      <c r="AU36" t="s">
        <v>91</v>
      </c>
      <c r="AV36" t="s">
        <v>56</v>
      </c>
      <c r="AW36">
        <v>1</v>
      </c>
      <c r="AX36" t="s">
        <v>57</v>
      </c>
      <c r="AY36" t="s">
        <v>58</v>
      </c>
      <c r="BA36" t="s">
        <v>59</v>
      </c>
      <c r="BB36">
        <v>120.071370424376</v>
      </c>
      <c r="BC3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52DC-A192-414D-B637-397C5042D799}">
  <dimension ref="A1:H21"/>
  <sheetViews>
    <sheetView workbookViewId="0">
      <selection activeCell="M21" sqref="M21"/>
    </sheetView>
  </sheetViews>
  <sheetFormatPr defaultRowHeight="14.4" x14ac:dyDescent="0.3"/>
  <sheetData>
    <row r="1" spans="1:8" x14ac:dyDescent="0.3">
      <c r="A1" t="s">
        <v>7</v>
      </c>
      <c r="B1" t="s">
        <v>8</v>
      </c>
      <c r="C1" t="s">
        <v>9</v>
      </c>
      <c r="D1" t="s">
        <v>139</v>
      </c>
      <c r="G1">
        <v>13</v>
      </c>
      <c r="H1">
        <f>G1/15</f>
        <v>0.8666666666666667</v>
      </c>
    </row>
    <row r="2" spans="1:8" x14ac:dyDescent="0.3">
      <c r="A2" t="s">
        <v>72</v>
      </c>
      <c r="B2" t="s">
        <v>76</v>
      </c>
      <c r="C2" t="s">
        <v>72</v>
      </c>
      <c r="D2" t="s">
        <v>140</v>
      </c>
      <c r="G2">
        <v>5</v>
      </c>
      <c r="H2">
        <f>G2/5</f>
        <v>1</v>
      </c>
    </row>
    <row r="3" spans="1:8" x14ac:dyDescent="0.3">
      <c r="A3" t="s">
        <v>84</v>
      </c>
      <c r="B3" t="s">
        <v>85</v>
      </c>
      <c r="C3" s="1" t="s">
        <v>84</v>
      </c>
    </row>
    <row r="4" spans="1:8" x14ac:dyDescent="0.3">
      <c r="A4" t="s">
        <v>65</v>
      </c>
      <c r="B4" t="s">
        <v>76</v>
      </c>
      <c r="C4" t="s">
        <v>65</v>
      </c>
      <c r="F4" t="s">
        <v>141</v>
      </c>
      <c r="G4">
        <f>H1-H2</f>
        <v>-0.1333333333333333</v>
      </c>
    </row>
    <row r="5" spans="1:8" x14ac:dyDescent="0.3">
      <c r="A5" t="s">
        <v>95</v>
      </c>
      <c r="B5" t="s">
        <v>85</v>
      </c>
      <c r="C5" s="1" t="s">
        <v>95</v>
      </c>
    </row>
    <row r="6" spans="1:8" x14ac:dyDescent="0.3">
      <c r="A6" t="s">
        <v>70</v>
      </c>
      <c r="B6" t="s">
        <v>76</v>
      </c>
      <c r="C6" t="s">
        <v>70</v>
      </c>
    </row>
    <row r="7" spans="1:8" x14ac:dyDescent="0.3">
      <c r="A7" t="s">
        <v>69</v>
      </c>
      <c r="B7" t="s">
        <v>76</v>
      </c>
      <c r="C7" t="s">
        <v>69</v>
      </c>
    </row>
    <row r="8" spans="1:8" x14ac:dyDescent="0.3">
      <c r="A8" t="s">
        <v>63</v>
      </c>
      <c r="B8" t="s">
        <v>76</v>
      </c>
      <c r="C8" t="s">
        <v>63</v>
      </c>
    </row>
    <row r="9" spans="1:8" x14ac:dyDescent="0.3">
      <c r="A9" t="s">
        <v>108</v>
      </c>
      <c r="B9" t="s">
        <v>85</v>
      </c>
      <c r="C9" s="1" t="s">
        <v>108</v>
      </c>
    </row>
    <row r="10" spans="1:8" x14ac:dyDescent="0.3">
      <c r="A10" t="s">
        <v>68</v>
      </c>
      <c r="B10" t="s">
        <v>76</v>
      </c>
      <c r="C10" s="2"/>
    </row>
    <row r="11" spans="1:8" x14ac:dyDescent="0.3">
      <c r="A11" t="s">
        <v>113</v>
      </c>
      <c r="B11" t="s">
        <v>76</v>
      </c>
      <c r="C11" t="s">
        <v>113</v>
      </c>
    </row>
    <row r="12" spans="1:8" x14ac:dyDescent="0.3">
      <c r="A12" t="s">
        <v>61</v>
      </c>
      <c r="B12" t="s">
        <v>76</v>
      </c>
      <c r="C12" t="s">
        <v>61</v>
      </c>
    </row>
    <row r="13" spans="1:8" x14ac:dyDescent="0.3">
      <c r="A13" t="s">
        <v>74</v>
      </c>
      <c r="B13" t="s">
        <v>76</v>
      </c>
      <c r="C13" t="s">
        <v>74</v>
      </c>
    </row>
    <row r="14" spans="1:8" x14ac:dyDescent="0.3">
      <c r="A14" t="s">
        <v>120</v>
      </c>
      <c r="B14" t="s">
        <v>85</v>
      </c>
      <c r="C14" s="1" t="s">
        <v>120</v>
      </c>
    </row>
    <row r="15" spans="1:8" x14ac:dyDescent="0.3">
      <c r="A15" t="s">
        <v>64</v>
      </c>
      <c r="B15" t="s">
        <v>76</v>
      </c>
      <c r="C15" t="s">
        <v>64</v>
      </c>
    </row>
    <row r="16" spans="1:8" x14ac:dyDescent="0.3">
      <c r="A16" t="s">
        <v>62</v>
      </c>
      <c r="B16" t="s">
        <v>76</v>
      </c>
      <c r="C16" s="3"/>
    </row>
    <row r="17" spans="1:3" x14ac:dyDescent="0.3">
      <c r="A17" t="s">
        <v>73</v>
      </c>
      <c r="B17" t="s">
        <v>76</v>
      </c>
      <c r="C17" t="s">
        <v>73</v>
      </c>
    </row>
    <row r="18" spans="1:3" x14ac:dyDescent="0.3">
      <c r="A18" t="s">
        <v>131</v>
      </c>
      <c r="B18" t="s">
        <v>85</v>
      </c>
      <c r="C18" s="1" t="s">
        <v>131</v>
      </c>
    </row>
    <row r="19" spans="1:3" x14ac:dyDescent="0.3">
      <c r="A19" t="s">
        <v>71</v>
      </c>
      <c r="B19" t="s">
        <v>76</v>
      </c>
      <c r="C19" t="s">
        <v>71</v>
      </c>
    </row>
    <row r="20" spans="1:3" x14ac:dyDescent="0.3">
      <c r="A20" t="s">
        <v>67</v>
      </c>
      <c r="B20" t="s">
        <v>76</v>
      </c>
      <c r="C20" t="s">
        <v>67</v>
      </c>
    </row>
    <row r="21" spans="1:3" x14ac:dyDescent="0.3">
      <c r="A21" t="s">
        <v>55</v>
      </c>
      <c r="B21" t="s">
        <v>76</v>
      </c>
      <c r="C2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82A6-41C6-4025-BE65-3C4AC66FB136}">
  <dimension ref="A1:BC36"/>
  <sheetViews>
    <sheetView workbookViewId="0">
      <selection sqref="A1:XFD1048576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73</v>
      </c>
      <c r="B2">
        <v>0</v>
      </c>
      <c r="C2">
        <v>0</v>
      </c>
      <c r="D2">
        <v>0</v>
      </c>
      <c r="E2">
        <v>2.2222222222222201</v>
      </c>
      <c r="F2">
        <v>3.0769081000034899</v>
      </c>
      <c r="R2">
        <v>0</v>
      </c>
      <c r="S2">
        <v>0</v>
      </c>
      <c r="T2">
        <v>0</v>
      </c>
      <c r="U2">
        <v>13</v>
      </c>
      <c r="Z2">
        <v>1.9293699995614502E-2</v>
      </c>
      <c r="AB2">
        <v>1.05808000007527E-2</v>
      </c>
      <c r="AC2">
        <v>1.9293699995614502E-2</v>
      </c>
      <c r="AD2">
        <v>1.9293699995614502E-2</v>
      </c>
      <c r="AE2">
        <v>3.0954513999968101</v>
      </c>
      <c r="AF2">
        <v>2.2222222222222201</v>
      </c>
      <c r="AG2">
        <v>3.0769081000034899</v>
      </c>
      <c r="AV2" t="s">
        <v>142</v>
      </c>
      <c r="AW2">
        <v>1</v>
      </c>
      <c r="AX2" t="s">
        <v>143</v>
      </c>
      <c r="AY2" t="s">
        <v>58</v>
      </c>
      <c r="BA2" t="s">
        <v>59</v>
      </c>
      <c r="BB2">
        <v>120.531011429728</v>
      </c>
      <c r="BC2" t="s">
        <v>144</v>
      </c>
    </row>
    <row r="3" spans="1:55" x14ac:dyDescent="0.3">
      <c r="A3" t="s">
        <v>61</v>
      </c>
      <c r="B3">
        <v>1</v>
      </c>
      <c r="C3">
        <v>1</v>
      </c>
      <c r="D3">
        <v>0</v>
      </c>
      <c r="E3">
        <v>4.4185185185185096</v>
      </c>
      <c r="F3">
        <v>2.3913781000010199</v>
      </c>
      <c r="R3">
        <v>0</v>
      </c>
      <c r="S3">
        <v>1</v>
      </c>
      <c r="T3">
        <v>1</v>
      </c>
      <c r="U3">
        <v>12</v>
      </c>
      <c r="Z3">
        <v>3.1063078000006499</v>
      </c>
      <c r="AB3">
        <v>3.1001392999969499</v>
      </c>
      <c r="AC3">
        <v>3.1063078000006499</v>
      </c>
      <c r="AD3">
        <v>3.1063078000006499</v>
      </c>
      <c r="AE3">
        <v>5.4993475999944996</v>
      </c>
      <c r="AF3">
        <v>4.4185185185185096</v>
      </c>
      <c r="AG3">
        <v>2.3913781000010199</v>
      </c>
      <c r="AV3" t="s">
        <v>142</v>
      </c>
      <c r="AW3">
        <v>1</v>
      </c>
      <c r="AX3" t="s">
        <v>143</v>
      </c>
      <c r="AY3" t="s">
        <v>58</v>
      </c>
      <c r="BA3" t="s">
        <v>59</v>
      </c>
      <c r="BB3">
        <v>120.531011429728</v>
      </c>
      <c r="BC3" t="s">
        <v>144</v>
      </c>
    </row>
    <row r="4" spans="1:55" x14ac:dyDescent="0.3">
      <c r="A4" t="s">
        <v>71</v>
      </c>
      <c r="B4">
        <v>2</v>
      </c>
      <c r="C4">
        <v>2</v>
      </c>
      <c r="D4">
        <v>0</v>
      </c>
      <c r="E4">
        <v>1.4629629629629599</v>
      </c>
      <c r="F4">
        <v>1.40174870000191</v>
      </c>
      <c r="R4">
        <v>0</v>
      </c>
      <c r="S4">
        <v>2</v>
      </c>
      <c r="T4">
        <v>2</v>
      </c>
      <c r="U4">
        <v>9</v>
      </c>
      <c r="Z4">
        <v>5.50904209999862</v>
      </c>
      <c r="AB4">
        <v>5.5036766999983202</v>
      </c>
      <c r="AC4">
        <v>5.50904209999862</v>
      </c>
      <c r="AD4">
        <v>5.50904209999862</v>
      </c>
      <c r="AE4">
        <v>6.9134000999983902</v>
      </c>
      <c r="AF4">
        <v>1.4629629629629599</v>
      </c>
      <c r="AG4">
        <v>1.40174870000191</v>
      </c>
      <c r="AV4" t="s">
        <v>142</v>
      </c>
      <c r="AW4">
        <v>1</v>
      </c>
      <c r="AX4" t="s">
        <v>143</v>
      </c>
      <c r="AY4" t="s">
        <v>58</v>
      </c>
      <c r="BA4" t="s">
        <v>59</v>
      </c>
      <c r="BB4">
        <v>120.531011429728</v>
      </c>
      <c r="BC4" t="s">
        <v>144</v>
      </c>
    </row>
    <row r="5" spans="1:55" x14ac:dyDescent="0.3">
      <c r="A5" t="s">
        <v>64</v>
      </c>
      <c r="B5">
        <v>3</v>
      </c>
      <c r="C5">
        <v>3</v>
      </c>
      <c r="D5">
        <v>0</v>
      </c>
      <c r="E5">
        <v>2.7518518518518502</v>
      </c>
      <c r="F5">
        <v>1.46382799999992</v>
      </c>
      <c r="R5">
        <v>0</v>
      </c>
      <c r="S5">
        <v>3</v>
      </c>
      <c r="T5">
        <v>3</v>
      </c>
      <c r="U5">
        <v>5</v>
      </c>
      <c r="Z5">
        <v>6.9217208999980304</v>
      </c>
      <c r="AB5">
        <v>6.9162384999944999</v>
      </c>
      <c r="AC5">
        <v>6.9217208999980304</v>
      </c>
      <c r="AD5">
        <v>6.9217208999980304</v>
      </c>
      <c r="AE5">
        <v>8.3883254999964194</v>
      </c>
      <c r="AF5">
        <v>2.7518518518518502</v>
      </c>
      <c r="AG5">
        <v>1.46382799999992</v>
      </c>
      <c r="AV5" t="s">
        <v>142</v>
      </c>
      <c r="AW5">
        <v>1</v>
      </c>
      <c r="AX5" t="s">
        <v>143</v>
      </c>
      <c r="AY5" t="s">
        <v>58</v>
      </c>
      <c r="BA5" t="s">
        <v>59</v>
      </c>
      <c r="BB5">
        <v>120.531011429728</v>
      </c>
      <c r="BC5" t="s">
        <v>144</v>
      </c>
    </row>
    <row r="6" spans="1:55" x14ac:dyDescent="0.3">
      <c r="A6" t="s">
        <v>68</v>
      </c>
      <c r="B6">
        <v>4</v>
      </c>
      <c r="C6">
        <v>4</v>
      </c>
      <c r="D6">
        <v>0</v>
      </c>
      <c r="E6">
        <v>4.4962962962962898</v>
      </c>
      <c r="F6">
        <v>1.28559300000051</v>
      </c>
      <c r="R6">
        <v>0</v>
      </c>
      <c r="S6">
        <v>4</v>
      </c>
      <c r="T6">
        <v>4</v>
      </c>
      <c r="U6">
        <v>10</v>
      </c>
      <c r="Z6">
        <v>8.3985590999945998</v>
      </c>
      <c r="AB6">
        <v>8.3915042000007798</v>
      </c>
      <c r="AC6">
        <v>8.3985590999945998</v>
      </c>
      <c r="AD6">
        <v>8.3985590999945998</v>
      </c>
      <c r="AE6">
        <v>9.6843443999969097</v>
      </c>
      <c r="AF6">
        <v>4.4962962962962898</v>
      </c>
      <c r="AG6">
        <v>1.28559300000051</v>
      </c>
      <c r="AV6" t="s">
        <v>142</v>
      </c>
      <c r="AW6">
        <v>1</v>
      </c>
      <c r="AX6" t="s">
        <v>143</v>
      </c>
      <c r="AY6" t="s">
        <v>58</v>
      </c>
      <c r="BA6" t="s">
        <v>59</v>
      </c>
      <c r="BB6">
        <v>120.531011429728</v>
      </c>
      <c r="BC6" t="s">
        <v>144</v>
      </c>
    </row>
    <row r="7" spans="1:55" x14ac:dyDescent="0.3">
      <c r="A7" t="s">
        <v>67</v>
      </c>
      <c r="B7">
        <v>5</v>
      </c>
      <c r="C7">
        <v>5</v>
      </c>
      <c r="D7">
        <v>0</v>
      </c>
      <c r="E7">
        <v>1.3074074074074</v>
      </c>
      <c r="F7">
        <v>1.10400080000545</v>
      </c>
      <c r="R7">
        <v>0</v>
      </c>
      <c r="S7">
        <v>5</v>
      </c>
      <c r="T7">
        <v>5</v>
      </c>
      <c r="U7">
        <v>3</v>
      </c>
      <c r="Z7">
        <v>9.6931012999993893</v>
      </c>
      <c r="AB7">
        <v>9.68720899999607</v>
      </c>
      <c r="AC7">
        <v>9.6931012999993893</v>
      </c>
      <c r="AD7">
        <v>9.6931012999993893</v>
      </c>
      <c r="AE7">
        <v>10.798281299997999</v>
      </c>
      <c r="AF7">
        <v>1.3074074074074</v>
      </c>
      <c r="AG7">
        <v>1.10400080000545</v>
      </c>
      <c r="AV7" t="s">
        <v>142</v>
      </c>
      <c r="AW7">
        <v>1</v>
      </c>
      <c r="AX7" t="s">
        <v>143</v>
      </c>
      <c r="AY7" t="s">
        <v>58</v>
      </c>
      <c r="BA7" t="s">
        <v>59</v>
      </c>
      <c r="BB7">
        <v>120.531011429728</v>
      </c>
      <c r="BC7" t="s">
        <v>144</v>
      </c>
    </row>
    <row r="8" spans="1:55" x14ac:dyDescent="0.3">
      <c r="A8" t="s">
        <v>70</v>
      </c>
      <c r="B8">
        <v>6</v>
      </c>
      <c r="C8">
        <v>6</v>
      </c>
      <c r="D8">
        <v>0</v>
      </c>
      <c r="E8">
        <v>4.3925925925925897</v>
      </c>
      <c r="F8">
        <v>1.4281527999992201</v>
      </c>
      <c r="R8">
        <v>0</v>
      </c>
      <c r="S8">
        <v>6</v>
      </c>
      <c r="T8">
        <v>6</v>
      </c>
      <c r="U8">
        <v>1</v>
      </c>
      <c r="Z8">
        <v>10.8077346999998</v>
      </c>
      <c r="AB8">
        <v>10.802281199998101</v>
      </c>
      <c r="AC8">
        <v>10.8077346999998</v>
      </c>
      <c r="AD8">
        <v>10.8077346999998</v>
      </c>
      <c r="AE8">
        <v>12.2375717999966</v>
      </c>
      <c r="AF8">
        <v>4.3925925925925897</v>
      </c>
      <c r="AG8">
        <v>1.4281527999992201</v>
      </c>
      <c r="AV8" t="s">
        <v>142</v>
      </c>
      <c r="AW8">
        <v>1</v>
      </c>
      <c r="AX8" t="s">
        <v>143</v>
      </c>
      <c r="AY8" t="s">
        <v>58</v>
      </c>
      <c r="BA8" t="s">
        <v>59</v>
      </c>
      <c r="BB8">
        <v>120.531011429728</v>
      </c>
      <c r="BC8" t="s">
        <v>144</v>
      </c>
    </row>
    <row r="9" spans="1:55" x14ac:dyDescent="0.3">
      <c r="A9" t="s">
        <v>63</v>
      </c>
      <c r="B9">
        <v>7</v>
      </c>
      <c r="C9">
        <v>7</v>
      </c>
      <c r="D9">
        <v>0</v>
      </c>
      <c r="E9">
        <v>1.44814814814814</v>
      </c>
      <c r="F9">
        <v>1.4452010000022699</v>
      </c>
      <c r="R9">
        <v>0</v>
      </c>
      <c r="S9">
        <v>7</v>
      </c>
      <c r="T9">
        <v>7</v>
      </c>
      <c r="U9">
        <v>6</v>
      </c>
      <c r="Z9">
        <v>12.246259399995299</v>
      </c>
      <c r="AB9">
        <v>12.2407737999965</v>
      </c>
      <c r="AC9">
        <v>12.246259399995299</v>
      </c>
      <c r="AD9">
        <v>12.246259399995299</v>
      </c>
      <c r="AE9">
        <v>13.693169999998601</v>
      </c>
      <c r="AF9">
        <v>1.44814814814814</v>
      </c>
      <c r="AG9">
        <v>1.4452010000022699</v>
      </c>
      <c r="AV9" t="s">
        <v>142</v>
      </c>
      <c r="AW9">
        <v>1</v>
      </c>
      <c r="AX9" t="s">
        <v>143</v>
      </c>
      <c r="AY9" t="s">
        <v>58</v>
      </c>
      <c r="BA9" t="s">
        <v>59</v>
      </c>
      <c r="BB9">
        <v>120.531011429728</v>
      </c>
      <c r="BC9" t="s">
        <v>144</v>
      </c>
    </row>
    <row r="10" spans="1:55" x14ac:dyDescent="0.3">
      <c r="A10" t="s">
        <v>65</v>
      </c>
      <c r="B10">
        <v>8</v>
      </c>
      <c r="C10">
        <v>8</v>
      </c>
      <c r="D10">
        <v>0</v>
      </c>
      <c r="E10">
        <v>4.4740740740740703</v>
      </c>
      <c r="F10">
        <v>1.3034852000055199</v>
      </c>
      <c r="R10">
        <v>0</v>
      </c>
      <c r="S10">
        <v>8</v>
      </c>
      <c r="T10">
        <v>8</v>
      </c>
      <c r="U10">
        <v>11</v>
      </c>
      <c r="Z10">
        <v>13.703587500000101</v>
      </c>
      <c r="AB10">
        <v>13.696554899994201</v>
      </c>
      <c r="AC10">
        <v>13.703587500000101</v>
      </c>
      <c r="AD10">
        <v>13.703587500000101</v>
      </c>
      <c r="AE10">
        <v>15.0075389999983</v>
      </c>
      <c r="AF10">
        <v>4.4740740740740703</v>
      </c>
      <c r="AG10">
        <v>1.3034852000055199</v>
      </c>
      <c r="AV10" t="s">
        <v>142</v>
      </c>
      <c r="AW10">
        <v>1</v>
      </c>
      <c r="AX10" t="s">
        <v>143</v>
      </c>
      <c r="AY10" t="s">
        <v>58</v>
      </c>
      <c r="BA10" t="s">
        <v>59</v>
      </c>
      <c r="BB10">
        <v>120.531011429728</v>
      </c>
      <c r="BC10" t="s">
        <v>144</v>
      </c>
    </row>
    <row r="11" spans="1:55" x14ac:dyDescent="0.3">
      <c r="A11" t="s">
        <v>72</v>
      </c>
      <c r="B11">
        <v>9</v>
      </c>
      <c r="C11">
        <v>9</v>
      </c>
      <c r="D11">
        <v>0</v>
      </c>
      <c r="E11">
        <v>1.49629629629629</v>
      </c>
      <c r="F11">
        <v>1.24198079999769</v>
      </c>
      <c r="R11">
        <v>0</v>
      </c>
      <c r="S11">
        <v>9</v>
      </c>
      <c r="T11">
        <v>9</v>
      </c>
      <c r="U11">
        <v>4</v>
      </c>
      <c r="Z11">
        <v>15.020281099998099</v>
      </c>
      <c r="AB11">
        <v>15.0132176999977</v>
      </c>
      <c r="AC11">
        <v>15.020281099998099</v>
      </c>
      <c r="AD11">
        <v>15.020281099998099</v>
      </c>
      <c r="AE11">
        <v>16.2633633000004</v>
      </c>
      <c r="AF11">
        <v>1.49629629629629</v>
      </c>
      <c r="AG11">
        <v>1.24198079999769</v>
      </c>
      <c r="AV11" t="s">
        <v>142</v>
      </c>
      <c r="AW11">
        <v>1</v>
      </c>
      <c r="AX11" t="s">
        <v>143</v>
      </c>
      <c r="AY11" t="s">
        <v>58</v>
      </c>
      <c r="BA11" t="s">
        <v>59</v>
      </c>
      <c r="BB11">
        <v>120.531011429728</v>
      </c>
      <c r="BC11" t="s">
        <v>144</v>
      </c>
    </row>
    <row r="12" spans="1:55" x14ac:dyDescent="0.3">
      <c r="A12" t="s">
        <v>69</v>
      </c>
      <c r="B12">
        <v>10</v>
      </c>
      <c r="C12">
        <v>10</v>
      </c>
      <c r="D12">
        <v>0</v>
      </c>
      <c r="E12">
        <v>3.6666666666666599</v>
      </c>
      <c r="F12">
        <v>1.30965360000118</v>
      </c>
      <c r="R12">
        <v>0</v>
      </c>
      <c r="S12">
        <v>10</v>
      </c>
      <c r="T12">
        <v>10</v>
      </c>
      <c r="U12">
        <v>14</v>
      </c>
      <c r="Z12">
        <v>16.271388299996001</v>
      </c>
      <c r="AB12">
        <v>16.2656411999996</v>
      </c>
      <c r="AC12">
        <v>16.271388299996001</v>
      </c>
      <c r="AD12">
        <v>16.271388299996001</v>
      </c>
      <c r="AE12">
        <v>17.5827088000005</v>
      </c>
      <c r="AF12">
        <v>3.6666666666666599</v>
      </c>
      <c r="AG12">
        <v>1.30965360000118</v>
      </c>
      <c r="AV12" t="s">
        <v>142</v>
      </c>
      <c r="AW12">
        <v>1</v>
      </c>
      <c r="AX12" t="s">
        <v>143</v>
      </c>
      <c r="AY12" t="s">
        <v>58</v>
      </c>
      <c r="BA12" t="s">
        <v>59</v>
      </c>
      <c r="BB12">
        <v>120.531011429728</v>
      </c>
      <c r="BC12" t="s">
        <v>144</v>
      </c>
    </row>
    <row r="13" spans="1:55" x14ac:dyDescent="0.3">
      <c r="A13" t="s">
        <v>66</v>
      </c>
      <c r="B13">
        <v>11</v>
      </c>
      <c r="C13">
        <v>11</v>
      </c>
      <c r="D13">
        <v>0</v>
      </c>
      <c r="E13">
        <v>1.51481481481481</v>
      </c>
      <c r="F13">
        <v>1.22396070000104</v>
      </c>
      <c r="R13">
        <v>0</v>
      </c>
      <c r="S13">
        <v>11</v>
      </c>
      <c r="T13">
        <v>11</v>
      </c>
      <c r="U13">
        <v>7</v>
      </c>
      <c r="Z13">
        <v>17.592380999994901</v>
      </c>
      <c r="AB13">
        <v>17.5872397999992</v>
      </c>
      <c r="AC13">
        <v>17.592380999994901</v>
      </c>
      <c r="AD13">
        <v>17.592380999994901</v>
      </c>
      <c r="AE13">
        <v>18.818522800000199</v>
      </c>
      <c r="AF13">
        <v>1.51481481481481</v>
      </c>
      <c r="AG13">
        <v>1.22396070000104</v>
      </c>
      <c r="AV13" t="s">
        <v>142</v>
      </c>
      <c r="AW13">
        <v>1</v>
      </c>
      <c r="AX13" t="s">
        <v>143</v>
      </c>
      <c r="AY13" t="s">
        <v>58</v>
      </c>
      <c r="BA13" t="s">
        <v>59</v>
      </c>
      <c r="BB13">
        <v>120.531011429728</v>
      </c>
      <c r="BC13" t="s">
        <v>144</v>
      </c>
    </row>
    <row r="14" spans="1:55" x14ac:dyDescent="0.3">
      <c r="A14" t="s">
        <v>74</v>
      </c>
      <c r="B14">
        <v>12</v>
      </c>
      <c r="C14">
        <v>12</v>
      </c>
      <c r="D14">
        <v>0</v>
      </c>
      <c r="E14">
        <v>3.6185185185185098</v>
      </c>
      <c r="F14">
        <v>1.5944528999971199</v>
      </c>
      <c r="R14">
        <v>0</v>
      </c>
      <c r="S14">
        <v>12</v>
      </c>
      <c r="T14">
        <v>12</v>
      </c>
      <c r="U14">
        <v>0</v>
      </c>
      <c r="Z14">
        <v>18.829111599996299</v>
      </c>
      <c r="AB14">
        <v>18.8215490000002</v>
      </c>
      <c r="AC14">
        <v>18.829111599996299</v>
      </c>
      <c r="AD14">
        <v>18.829111599996299</v>
      </c>
      <c r="AE14">
        <v>20.422915399998601</v>
      </c>
      <c r="AF14">
        <v>3.6185185185185098</v>
      </c>
      <c r="AG14">
        <v>1.5944528999971199</v>
      </c>
      <c r="AV14" t="s">
        <v>142</v>
      </c>
      <c r="AW14">
        <v>1</v>
      </c>
      <c r="AX14" t="s">
        <v>143</v>
      </c>
      <c r="AY14" t="s">
        <v>58</v>
      </c>
      <c r="BA14" t="s">
        <v>59</v>
      </c>
      <c r="BB14">
        <v>120.531011429728</v>
      </c>
      <c r="BC14" t="s">
        <v>144</v>
      </c>
    </row>
    <row r="15" spans="1:55" x14ac:dyDescent="0.3">
      <c r="A15" t="s">
        <v>55</v>
      </c>
      <c r="B15">
        <v>13</v>
      </c>
      <c r="C15">
        <v>13</v>
      </c>
      <c r="D15">
        <v>0</v>
      </c>
      <c r="E15">
        <v>1.6555555555555499</v>
      </c>
      <c r="F15">
        <v>1.4130251000024101</v>
      </c>
      <c r="R15">
        <v>0</v>
      </c>
      <c r="S15">
        <v>13</v>
      </c>
      <c r="T15">
        <v>13</v>
      </c>
      <c r="U15">
        <v>8</v>
      </c>
      <c r="Z15">
        <v>20.431141399996701</v>
      </c>
      <c r="AB15">
        <v>20.4250433999986</v>
      </c>
      <c r="AC15">
        <v>20.431141399996701</v>
      </c>
      <c r="AD15">
        <v>20.431141399996701</v>
      </c>
      <c r="AE15">
        <v>21.845234399996102</v>
      </c>
      <c r="AF15">
        <v>1.6555555555555499</v>
      </c>
      <c r="AG15">
        <v>1.4130251000024101</v>
      </c>
      <c r="AV15" t="s">
        <v>142</v>
      </c>
      <c r="AW15">
        <v>1</v>
      </c>
      <c r="AX15" t="s">
        <v>143</v>
      </c>
      <c r="AY15" t="s">
        <v>58</v>
      </c>
      <c r="BA15" t="s">
        <v>59</v>
      </c>
      <c r="BB15">
        <v>120.531011429728</v>
      </c>
      <c r="BC15" t="s">
        <v>144</v>
      </c>
    </row>
    <row r="16" spans="1:55" x14ac:dyDescent="0.3">
      <c r="A16" t="s">
        <v>62</v>
      </c>
      <c r="B16">
        <v>14</v>
      </c>
      <c r="C16">
        <v>14</v>
      </c>
      <c r="D16">
        <v>0</v>
      </c>
      <c r="E16">
        <v>3.8</v>
      </c>
      <c r="F16">
        <v>1.4035452999960301</v>
      </c>
      <c r="R16">
        <v>0</v>
      </c>
      <c r="S16">
        <v>14</v>
      </c>
      <c r="T16">
        <v>14</v>
      </c>
      <c r="U16">
        <v>2</v>
      </c>
      <c r="Z16">
        <v>21.855642099995698</v>
      </c>
      <c r="AB16">
        <v>21.848558699995898</v>
      </c>
      <c r="AC16">
        <v>21.855642099995698</v>
      </c>
      <c r="AD16">
        <v>21.855642099995698</v>
      </c>
      <c r="AE16">
        <v>23.259720800000601</v>
      </c>
      <c r="AF16">
        <v>3.8</v>
      </c>
      <c r="AG16">
        <v>1.4035452999960301</v>
      </c>
      <c r="AV16" t="s">
        <v>142</v>
      </c>
      <c r="AW16">
        <v>1</v>
      </c>
      <c r="AX16" t="s">
        <v>143</v>
      </c>
      <c r="AY16" t="s">
        <v>58</v>
      </c>
      <c r="BA16" t="s">
        <v>59</v>
      </c>
      <c r="BB16">
        <v>120.531011429728</v>
      </c>
      <c r="BC16" t="s">
        <v>144</v>
      </c>
    </row>
    <row r="17" spans="2:55" x14ac:dyDescent="0.3">
      <c r="B17">
        <v>0</v>
      </c>
      <c r="C17">
        <v>0</v>
      </c>
      <c r="D17">
        <v>0</v>
      </c>
      <c r="G17" t="s">
        <v>110</v>
      </c>
      <c r="H17" t="s">
        <v>68</v>
      </c>
      <c r="I17" t="s">
        <v>76</v>
      </c>
      <c r="J17" t="s">
        <v>68</v>
      </c>
      <c r="K17" t="s">
        <v>145</v>
      </c>
      <c r="L17" t="s">
        <v>146</v>
      </c>
      <c r="M17" t="s">
        <v>88</v>
      </c>
      <c r="N17" t="s">
        <v>89</v>
      </c>
      <c r="O17" t="s">
        <v>89</v>
      </c>
      <c r="P17" t="s">
        <v>147</v>
      </c>
      <c r="Q17" t="s">
        <v>91</v>
      </c>
      <c r="V17">
        <v>0</v>
      </c>
      <c r="W17">
        <v>0</v>
      </c>
      <c r="X17">
        <v>0</v>
      </c>
      <c r="Y17">
        <v>5</v>
      </c>
      <c r="Z17">
        <v>23.277612999998301</v>
      </c>
      <c r="AH17">
        <v>23.269789300000401</v>
      </c>
      <c r="AI17">
        <v>23.277612999998301</v>
      </c>
      <c r="AJ17">
        <v>23.277612999998301</v>
      </c>
      <c r="AK17">
        <v>23.277612999998301</v>
      </c>
      <c r="AL17">
        <v>1.00678000017069E-2</v>
      </c>
      <c r="AM17">
        <v>27.512159199999498</v>
      </c>
      <c r="AN17" t="s">
        <v>68</v>
      </c>
      <c r="AO17" t="s">
        <v>145</v>
      </c>
      <c r="AP17" t="s">
        <v>146</v>
      </c>
      <c r="AQ17" t="s">
        <v>88</v>
      </c>
      <c r="AR17" t="s">
        <v>89</v>
      </c>
      <c r="AS17" t="s">
        <v>89</v>
      </c>
      <c r="AT17" t="s">
        <v>147</v>
      </c>
      <c r="AU17" t="s">
        <v>91</v>
      </c>
      <c r="AV17" t="s">
        <v>142</v>
      </c>
      <c r="AW17">
        <v>1</v>
      </c>
      <c r="AX17" t="s">
        <v>143</v>
      </c>
      <c r="AY17" t="s">
        <v>58</v>
      </c>
      <c r="BA17" t="s">
        <v>59</v>
      </c>
      <c r="BB17">
        <v>120.531011429728</v>
      </c>
      <c r="BC17" t="s">
        <v>144</v>
      </c>
    </row>
    <row r="18" spans="2:55" x14ac:dyDescent="0.3">
      <c r="B18">
        <v>1</v>
      </c>
      <c r="C18">
        <v>1</v>
      </c>
      <c r="D18">
        <v>0</v>
      </c>
      <c r="G18" t="s">
        <v>117</v>
      </c>
      <c r="H18" t="s">
        <v>74</v>
      </c>
      <c r="I18" t="s">
        <v>76</v>
      </c>
      <c r="J18" t="s">
        <v>74</v>
      </c>
      <c r="K18" t="s">
        <v>148</v>
      </c>
      <c r="L18" t="s">
        <v>149</v>
      </c>
      <c r="M18" t="s">
        <v>88</v>
      </c>
      <c r="N18" t="s">
        <v>89</v>
      </c>
      <c r="O18" t="s">
        <v>89</v>
      </c>
      <c r="P18" t="s">
        <v>150</v>
      </c>
      <c r="Q18" t="s">
        <v>91</v>
      </c>
      <c r="V18">
        <v>0</v>
      </c>
      <c r="W18">
        <v>1</v>
      </c>
      <c r="X18">
        <v>1</v>
      </c>
      <c r="Y18">
        <v>13</v>
      </c>
      <c r="Z18">
        <v>27.522589399995901</v>
      </c>
      <c r="AH18">
        <v>27.515456900000501</v>
      </c>
      <c r="AI18">
        <v>27.522589399995901</v>
      </c>
      <c r="AJ18">
        <v>27.522589399995901</v>
      </c>
      <c r="AK18">
        <v>27.522589399995901</v>
      </c>
      <c r="AL18">
        <v>3.1335000021499499E-3</v>
      </c>
      <c r="AM18">
        <v>31.196417599996401</v>
      </c>
      <c r="AN18" t="s">
        <v>74</v>
      </c>
      <c r="AO18" t="s">
        <v>148</v>
      </c>
      <c r="AP18" t="s">
        <v>149</v>
      </c>
      <c r="AQ18" t="s">
        <v>88</v>
      </c>
      <c r="AR18" t="s">
        <v>89</v>
      </c>
      <c r="AS18" t="s">
        <v>89</v>
      </c>
      <c r="AT18" t="s">
        <v>150</v>
      </c>
      <c r="AU18" t="s">
        <v>91</v>
      </c>
      <c r="AV18" t="s">
        <v>142</v>
      </c>
      <c r="AW18">
        <v>1</v>
      </c>
      <c r="AX18" t="s">
        <v>143</v>
      </c>
      <c r="AY18" t="s">
        <v>58</v>
      </c>
      <c r="BA18" t="s">
        <v>59</v>
      </c>
      <c r="BB18">
        <v>120.531011429728</v>
      </c>
      <c r="BC18" t="s">
        <v>144</v>
      </c>
    </row>
    <row r="19" spans="2:55" x14ac:dyDescent="0.3">
      <c r="B19">
        <v>2</v>
      </c>
      <c r="C19">
        <v>2</v>
      </c>
      <c r="D19">
        <v>0</v>
      </c>
      <c r="G19" t="s">
        <v>126</v>
      </c>
      <c r="H19" t="s">
        <v>73</v>
      </c>
      <c r="I19" t="s">
        <v>76</v>
      </c>
      <c r="J19" t="s">
        <v>73</v>
      </c>
      <c r="K19" t="s">
        <v>151</v>
      </c>
      <c r="L19" t="s">
        <v>152</v>
      </c>
      <c r="M19" t="s">
        <v>88</v>
      </c>
      <c r="N19" t="s">
        <v>89</v>
      </c>
      <c r="O19" t="s">
        <v>89</v>
      </c>
      <c r="P19" t="s">
        <v>153</v>
      </c>
      <c r="Q19" t="s">
        <v>91</v>
      </c>
      <c r="V19">
        <v>0</v>
      </c>
      <c r="W19">
        <v>2</v>
      </c>
      <c r="X19">
        <v>2</v>
      </c>
      <c r="Y19">
        <v>8</v>
      </c>
      <c r="Z19">
        <v>31.2063850999984</v>
      </c>
      <c r="AH19">
        <v>31.1994372999979</v>
      </c>
      <c r="AI19">
        <v>31.2063850999984</v>
      </c>
      <c r="AJ19">
        <v>31.2063850999984</v>
      </c>
      <c r="AK19">
        <v>31.2063850999984</v>
      </c>
      <c r="AL19">
        <v>2.8697000016109E-3</v>
      </c>
      <c r="AM19">
        <v>40.246143399999703</v>
      </c>
      <c r="AN19" t="s">
        <v>73</v>
      </c>
      <c r="AO19" t="s">
        <v>151</v>
      </c>
      <c r="AP19" t="s">
        <v>152</v>
      </c>
      <c r="AQ19" t="s">
        <v>88</v>
      </c>
      <c r="AR19" t="s">
        <v>89</v>
      </c>
      <c r="AS19" t="s">
        <v>89</v>
      </c>
      <c r="AT19" t="s">
        <v>153</v>
      </c>
      <c r="AU19" t="s">
        <v>91</v>
      </c>
      <c r="AV19" t="s">
        <v>142</v>
      </c>
      <c r="AW19">
        <v>1</v>
      </c>
      <c r="AX19" t="s">
        <v>143</v>
      </c>
      <c r="AY19" t="s">
        <v>58</v>
      </c>
      <c r="BA19" t="s">
        <v>59</v>
      </c>
      <c r="BB19">
        <v>120.531011429728</v>
      </c>
      <c r="BC19" t="s">
        <v>144</v>
      </c>
    </row>
    <row r="20" spans="2:55" x14ac:dyDescent="0.3">
      <c r="B20">
        <v>3</v>
      </c>
      <c r="C20">
        <v>3</v>
      </c>
      <c r="D20">
        <v>0</v>
      </c>
      <c r="G20" t="s">
        <v>83</v>
      </c>
      <c r="H20" t="s">
        <v>84</v>
      </c>
      <c r="I20" t="s">
        <v>85</v>
      </c>
      <c r="J20" t="s">
        <v>84</v>
      </c>
      <c r="K20" t="s">
        <v>151</v>
      </c>
      <c r="L20" t="s">
        <v>152</v>
      </c>
      <c r="M20" t="s">
        <v>88</v>
      </c>
      <c r="N20" t="s">
        <v>89</v>
      </c>
      <c r="O20" t="s">
        <v>89</v>
      </c>
      <c r="P20" t="s">
        <v>154</v>
      </c>
      <c r="Q20" t="s">
        <v>91</v>
      </c>
      <c r="V20">
        <v>0</v>
      </c>
      <c r="W20">
        <v>3</v>
      </c>
      <c r="X20">
        <v>3</v>
      </c>
      <c r="Y20">
        <v>15</v>
      </c>
      <c r="Z20">
        <v>40.257653299995503</v>
      </c>
      <c r="AH20">
        <v>40.2498896999968</v>
      </c>
      <c r="AI20">
        <v>40.257653299995503</v>
      </c>
      <c r="AJ20">
        <v>40.257653299995503</v>
      </c>
      <c r="AK20">
        <v>40.257653299995503</v>
      </c>
      <c r="AL20">
        <v>3.57729999814182E-3</v>
      </c>
      <c r="AM20">
        <v>44.605484100000403</v>
      </c>
      <c r="AN20" t="s">
        <v>84</v>
      </c>
      <c r="AO20" t="s">
        <v>151</v>
      </c>
      <c r="AP20" t="s">
        <v>152</v>
      </c>
      <c r="AQ20" t="s">
        <v>88</v>
      </c>
      <c r="AR20" t="s">
        <v>89</v>
      </c>
      <c r="AS20" t="s">
        <v>89</v>
      </c>
      <c r="AT20" t="s">
        <v>154</v>
      </c>
      <c r="AU20" t="s">
        <v>91</v>
      </c>
      <c r="AV20" t="s">
        <v>142</v>
      </c>
      <c r="AW20">
        <v>1</v>
      </c>
      <c r="AX20" t="s">
        <v>143</v>
      </c>
      <c r="AY20" t="s">
        <v>58</v>
      </c>
      <c r="BA20" t="s">
        <v>59</v>
      </c>
      <c r="BB20">
        <v>120.531011429728</v>
      </c>
      <c r="BC20" t="s">
        <v>144</v>
      </c>
    </row>
    <row r="21" spans="2:55" x14ac:dyDescent="0.3">
      <c r="B21">
        <v>4</v>
      </c>
      <c r="C21">
        <v>4</v>
      </c>
      <c r="D21">
        <v>0</v>
      </c>
      <c r="G21" t="s">
        <v>122</v>
      </c>
      <c r="H21" t="s">
        <v>64</v>
      </c>
      <c r="I21" t="s">
        <v>76</v>
      </c>
      <c r="J21" t="s">
        <v>64</v>
      </c>
      <c r="K21" t="s">
        <v>151</v>
      </c>
      <c r="L21" t="s">
        <v>152</v>
      </c>
      <c r="M21" t="s">
        <v>88</v>
      </c>
      <c r="N21" t="s">
        <v>89</v>
      </c>
      <c r="O21" t="s">
        <v>89</v>
      </c>
      <c r="P21" t="s">
        <v>155</v>
      </c>
      <c r="Q21" t="s">
        <v>91</v>
      </c>
      <c r="V21">
        <v>0</v>
      </c>
      <c r="W21">
        <v>4</v>
      </c>
      <c r="X21">
        <v>4</v>
      </c>
      <c r="Y21">
        <v>0</v>
      </c>
      <c r="Z21">
        <v>44.617176799998497</v>
      </c>
      <c r="AH21">
        <v>44.6090575999987</v>
      </c>
      <c r="AI21">
        <v>44.617176799998497</v>
      </c>
      <c r="AJ21">
        <v>44.617176799998497</v>
      </c>
      <c r="AK21">
        <v>44.617176799998497</v>
      </c>
      <c r="AL21">
        <v>3.4118999974452799E-3</v>
      </c>
      <c r="AM21">
        <v>48.656781899997398</v>
      </c>
      <c r="AN21" t="s">
        <v>64</v>
      </c>
      <c r="AO21" t="s">
        <v>151</v>
      </c>
      <c r="AP21" t="s">
        <v>152</v>
      </c>
      <c r="AQ21" t="s">
        <v>88</v>
      </c>
      <c r="AR21" t="s">
        <v>89</v>
      </c>
      <c r="AS21" t="s">
        <v>89</v>
      </c>
      <c r="AT21" t="s">
        <v>155</v>
      </c>
      <c r="AU21" t="s">
        <v>91</v>
      </c>
      <c r="AV21" t="s">
        <v>142</v>
      </c>
      <c r="AW21">
        <v>1</v>
      </c>
      <c r="AX21" t="s">
        <v>143</v>
      </c>
      <c r="AY21" t="s">
        <v>58</v>
      </c>
      <c r="BA21" t="s">
        <v>59</v>
      </c>
      <c r="BB21">
        <v>120.531011429728</v>
      </c>
      <c r="BC21" t="s">
        <v>144</v>
      </c>
    </row>
    <row r="22" spans="2:55" x14ac:dyDescent="0.3">
      <c r="B22">
        <v>5</v>
      </c>
      <c r="C22">
        <v>5</v>
      </c>
      <c r="D22">
        <v>0</v>
      </c>
      <c r="G22" t="s">
        <v>75</v>
      </c>
      <c r="H22" t="s">
        <v>72</v>
      </c>
      <c r="I22" t="s">
        <v>76</v>
      </c>
      <c r="J22" t="s">
        <v>72</v>
      </c>
      <c r="K22" t="s">
        <v>151</v>
      </c>
      <c r="L22" t="s">
        <v>152</v>
      </c>
      <c r="M22" t="s">
        <v>88</v>
      </c>
      <c r="N22" t="s">
        <v>89</v>
      </c>
      <c r="O22" t="s">
        <v>89</v>
      </c>
      <c r="P22" t="s">
        <v>156</v>
      </c>
      <c r="Q22" t="s">
        <v>91</v>
      </c>
      <c r="V22">
        <v>0</v>
      </c>
      <c r="W22">
        <v>5</v>
      </c>
      <c r="X22">
        <v>5</v>
      </c>
      <c r="Y22">
        <v>10</v>
      </c>
      <c r="Z22">
        <v>48.668437099993703</v>
      </c>
      <c r="AH22">
        <v>48.6605627999961</v>
      </c>
      <c r="AI22">
        <v>48.668437099993703</v>
      </c>
      <c r="AJ22">
        <v>48.668437099993703</v>
      </c>
      <c r="AK22">
        <v>48.668437099993703</v>
      </c>
      <c r="AL22">
        <v>3.6226000011083601E-3</v>
      </c>
      <c r="AM22">
        <v>54.063740899997299</v>
      </c>
      <c r="AN22" t="s">
        <v>72</v>
      </c>
      <c r="AO22" t="s">
        <v>151</v>
      </c>
      <c r="AP22" t="s">
        <v>152</v>
      </c>
      <c r="AQ22" t="s">
        <v>88</v>
      </c>
      <c r="AR22" t="s">
        <v>89</v>
      </c>
      <c r="AS22" t="s">
        <v>89</v>
      </c>
      <c r="AT22" t="s">
        <v>156</v>
      </c>
      <c r="AU22" t="s">
        <v>91</v>
      </c>
      <c r="AV22" t="s">
        <v>142</v>
      </c>
      <c r="AW22">
        <v>1</v>
      </c>
      <c r="AX22" t="s">
        <v>143</v>
      </c>
      <c r="AY22" t="s">
        <v>58</v>
      </c>
      <c r="BA22" t="s">
        <v>59</v>
      </c>
      <c r="BB22">
        <v>120.531011429728</v>
      </c>
      <c r="BC22" t="s">
        <v>144</v>
      </c>
    </row>
    <row r="23" spans="2:55" x14ac:dyDescent="0.3">
      <c r="B23">
        <v>6</v>
      </c>
      <c r="C23">
        <v>6</v>
      </c>
      <c r="D23">
        <v>0</v>
      </c>
      <c r="G23" t="s">
        <v>115</v>
      </c>
      <c r="H23" t="s">
        <v>61</v>
      </c>
      <c r="I23" t="s">
        <v>76</v>
      </c>
      <c r="J23" t="s">
        <v>61</v>
      </c>
      <c r="K23" t="s">
        <v>151</v>
      </c>
      <c r="L23" t="s">
        <v>152</v>
      </c>
      <c r="M23" t="s">
        <v>88</v>
      </c>
      <c r="N23" t="s">
        <v>89</v>
      </c>
      <c r="O23" t="s">
        <v>89</v>
      </c>
      <c r="P23" t="s">
        <v>157</v>
      </c>
      <c r="Q23" t="s">
        <v>91</v>
      </c>
      <c r="V23">
        <v>0</v>
      </c>
      <c r="W23">
        <v>6</v>
      </c>
      <c r="X23">
        <v>6</v>
      </c>
      <c r="Y23">
        <v>7</v>
      </c>
      <c r="Z23">
        <v>54.0747230999986</v>
      </c>
      <c r="AH23">
        <v>54.067087600000299</v>
      </c>
      <c r="AI23">
        <v>54.0747230999986</v>
      </c>
      <c r="AJ23">
        <v>54.0747230999986</v>
      </c>
      <c r="AK23">
        <v>54.0747230999986</v>
      </c>
      <c r="AL23">
        <v>3.1847999998717499E-3</v>
      </c>
      <c r="AM23">
        <v>65.368866299999297</v>
      </c>
      <c r="AN23" t="s">
        <v>61</v>
      </c>
      <c r="AO23" t="s">
        <v>151</v>
      </c>
      <c r="AP23" t="s">
        <v>152</v>
      </c>
      <c r="AQ23" t="s">
        <v>88</v>
      </c>
      <c r="AR23" t="s">
        <v>89</v>
      </c>
      <c r="AS23" t="s">
        <v>89</v>
      </c>
      <c r="AT23" t="s">
        <v>157</v>
      </c>
      <c r="AU23" t="s">
        <v>91</v>
      </c>
      <c r="AV23" t="s">
        <v>142</v>
      </c>
      <c r="AW23">
        <v>1</v>
      </c>
      <c r="AX23" t="s">
        <v>143</v>
      </c>
      <c r="AY23" t="s">
        <v>58</v>
      </c>
      <c r="BA23" t="s">
        <v>59</v>
      </c>
      <c r="BB23">
        <v>120.531011429728</v>
      </c>
      <c r="BC23" t="s">
        <v>144</v>
      </c>
    </row>
    <row r="24" spans="2:55" x14ac:dyDescent="0.3">
      <c r="B24">
        <v>7</v>
      </c>
      <c r="C24">
        <v>7</v>
      </c>
      <c r="D24">
        <v>0</v>
      </c>
      <c r="G24" t="s">
        <v>94</v>
      </c>
      <c r="H24" t="s">
        <v>95</v>
      </c>
      <c r="I24" t="s">
        <v>85</v>
      </c>
      <c r="J24" t="s">
        <v>95</v>
      </c>
      <c r="K24" t="s">
        <v>151</v>
      </c>
      <c r="L24" t="s">
        <v>152</v>
      </c>
      <c r="M24" t="s">
        <v>88</v>
      </c>
      <c r="N24" t="s">
        <v>89</v>
      </c>
      <c r="O24" t="s">
        <v>89</v>
      </c>
      <c r="P24" t="s">
        <v>158</v>
      </c>
      <c r="Q24" t="s">
        <v>91</v>
      </c>
      <c r="V24">
        <v>0</v>
      </c>
      <c r="W24">
        <v>7</v>
      </c>
      <c r="X24">
        <v>7</v>
      </c>
      <c r="Y24">
        <v>17</v>
      </c>
      <c r="Z24">
        <v>65.383163499995106</v>
      </c>
      <c r="AH24">
        <v>65.374362899994594</v>
      </c>
      <c r="AI24">
        <v>65.383163499995106</v>
      </c>
      <c r="AJ24">
        <v>65.383163499995106</v>
      </c>
      <c r="AK24">
        <v>65.383163499995106</v>
      </c>
      <c r="AL24">
        <v>5.3372000038507299E-3</v>
      </c>
      <c r="AM24">
        <v>68.438739599994705</v>
      </c>
      <c r="AN24" t="s">
        <v>95</v>
      </c>
      <c r="AO24" t="s">
        <v>151</v>
      </c>
      <c r="AP24" t="s">
        <v>152</v>
      </c>
      <c r="AQ24" t="s">
        <v>88</v>
      </c>
      <c r="AR24" t="s">
        <v>89</v>
      </c>
      <c r="AS24" t="s">
        <v>89</v>
      </c>
      <c r="AT24" t="s">
        <v>158</v>
      </c>
      <c r="AU24" t="s">
        <v>91</v>
      </c>
      <c r="AV24" t="s">
        <v>142</v>
      </c>
      <c r="AW24">
        <v>1</v>
      </c>
      <c r="AX24" t="s">
        <v>143</v>
      </c>
      <c r="AY24" t="s">
        <v>58</v>
      </c>
      <c r="BA24" t="s">
        <v>59</v>
      </c>
      <c r="BB24">
        <v>120.531011429728</v>
      </c>
      <c r="BC24" t="s">
        <v>144</v>
      </c>
    </row>
    <row r="25" spans="2:55" x14ac:dyDescent="0.3">
      <c r="B25">
        <v>8</v>
      </c>
      <c r="C25">
        <v>8</v>
      </c>
      <c r="D25">
        <v>0</v>
      </c>
      <c r="G25" t="s">
        <v>97</v>
      </c>
      <c r="H25" t="s">
        <v>70</v>
      </c>
      <c r="I25" t="s">
        <v>76</v>
      </c>
      <c r="J25" t="s">
        <v>70</v>
      </c>
      <c r="K25" t="s">
        <v>151</v>
      </c>
      <c r="L25" t="s">
        <v>152</v>
      </c>
      <c r="M25" t="s">
        <v>88</v>
      </c>
      <c r="N25" t="s">
        <v>89</v>
      </c>
      <c r="O25" t="s">
        <v>89</v>
      </c>
      <c r="P25" t="s">
        <v>159</v>
      </c>
      <c r="Q25" t="s">
        <v>91</v>
      </c>
      <c r="V25">
        <v>0</v>
      </c>
      <c r="W25">
        <v>8</v>
      </c>
      <c r="X25">
        <v>8</v>
      </c>
      <c r="Y25">
        <v>14</v>
      </c>
      <c r="Z25">
        <v>68.450126600000601</v>
      </c>
      <c r="AH25">
        <v>68.4422138999943</v>
      </c>
      <c r="AI25">
        <v>68.450126600000601</v>
      </c>
      <c r="AJ25">
        <v>68.450126600000601</v>
      </c>
      <c r="AK25">
        <v>68.450126600000601</v>
      </c>
      <c r="AL25">
        <v>3.3192000046255998E-3</v>
      </c>
      <c r="AM25">
        <v>77.447484199998101</v>
      </c>
      <c r="AN25" t="s">
        <v>70</v>
      </c>
      <c r="AO25" t="s">
        <v>151</v>
      </c>
      <c r="AP25" t="s">
        <v>152</v>
      </c>
      <c r="AQ25" t="s">
        <v>88</v>
      </c>
      <c r="AR25" t="s">
        <v>89</v>
      </c>
      <c r="AS25" t="s">
        <v>89</v>
      </c>
      <c r="AT25" t="s">
        <v>159</v>
      </c>
      <c r="AU25" t="s">
        <v>91</v>
      </c>
      <c r="AV25" t="s">
        <v>142</v>
      </c>
      <c r="AW25">
        <v>1</v>
      </c>
      <c r="AX25" t="s">
        <v>143</v>
      </c>
      <c r="AY25" t="s">
        <v>58</v>
      </c>
      <c r="BA25" t="s">
        <v>59</v>
      </c>
      <c r="BB25">
        <v>120.531011429728</v>
      </c>
      <c r="BC25" t="s">
        <v>144</v>
      </c>
    </row>
    <row r="26" spans="2:55" x14ac:dyDescent="0.3">
      <c r="B26">
        <v>9</v>
      </c>
      <c r="C26">
        <v>9</v>
      </c>
      <c r="D26">
        <v>0</v>
      </c>
      <c r="G26" t="s">
        <v>101</v>
      </c>
      <c r="H26" t="s">
        <v>69</v>
      </c>
      <c r="I26" t="s">
        <v>76</v>
      </c>
      <c r="J26" t="s">
        <v>69</v>
      </c>
      <c r="K26" t="s">
        <v>151</v>
      </c>
      <c r="L26" t="s">
        <v>152</v>
      </c>
      <c r="M26" t="s">
        <v>88</v>
      </c>
      <c r="N26" t="s">
        <v>89</v>
      </c>
      <c r="O26" t="s">
        <v>89</v>
      </c>
      <c r="P26" t="s">
        <v>160</v>
      </c>
      <c r="Q26" t="s">
        <v>91</v>
      </c>
      <c r="V26">
        <v>0</v>
      </c>
      <c r="W26">
        <v>9</v>
      </c>
      <c r="X26">
        <v>9</v>
      </c>
      <c r="Y26">
        <v>9</v>
      </c>
      <c r="Z26">
        <v>77.458705599994502</v>
      </c>
      <c r="AH26">
        <v>77.451090700000293</v>
      </c>
      <c r="AI26">
        <v>77.458705599994502</v>
      </c>
      <c r="AJ26">
        <v>77.458705599994502</v>
      </c>
      <c r="AK26">
        <v>77.458705599994502</v>
      </c>
      <c r="AL26">
        <v>3.4406999984639601E-3</v>
      </c>
      <c r="AM26">
        <v>82.704252899995396</v>
      </c>
      <c r="AN26" t="s">
        <v>69</v>
      </c>
      <c r="AO26" t="s">
        <v>151</v>
      </c>
      <c r="AP26" t="s">
        <v>152</v>
      </c>
      <c r="AQ26" t="s">
        <v>88</v>
      </c>
      <c r="AR26" t="s">
        <v>89</v>
      </c>
      <c r="AS26" t="s">
        <v>89</v>
      </c>
      <c r="AT26" t="s">
        <v>160</v>
      </c>
      <c r="AU26" t="s">
        <v>91</v>
      </c>
      <c r="AV26" t="s">
        <v>142</v>
      </c>
      <c r="AW26">
        <v>1</v>
      </c>
      <c r="AX26" t="s">
        <v>143</v>
      </c>
      <c r="AY26" t="s">
        <v>58</v>
      </c>
      <c r="BA26" t="s">
        <v>59</v>
      </c>
      <c r="BB26">
        <v>120.531011429728</v>
      </c>
      <c r="BC26" t="s">
        <v>144</v>
      </c>
    </row>
    <row r="27" spans="2:55" x14ac:dyDescent="0.3">
      <c r="B27">
        <v>10</v>
      </c>
      <c r="C27">
        <v>10</v>
      </c>
      <c r="D27">
        <v>0</v>
      </c>
      <c r="G27" t="s">
        <v>107</v>
      </c>
      <c r="H27" t="s">
        <v>108</v>
      </c>
      <c r="I27" t="s">
        <v>85</v>
      </c>
      <c r="J27" t="s">
        <v>108</v>
      </c>
      <c r="K27" t="s">
        <v>151</v>
      </c>
      <c r="L27" t="s">
        <v>152</v>
      </c>
      <c r="M27" t="s">
        <v>88</v>
      </c>
      <c r="N27" t="s">
        <v>89</v>
      </c>
      <c r="O27" t="s">
        <v>89</v>
      </c>
      <c r="P27" t="s">
        <v>161</v>
      </c>
      <c r="Q27" t="s">
        <v>91</v>
      </c>
      <c r="V27">
        <v>0</v>
      </c>
      <c r="W27">
        <v>10</v>
      </c>
      <c r="X27">
        <v>10</v>
      </c>
      <c r="Y27">
        <v>18</v>
      </c>
      <c r="Z27">
        <v>82.716707299994596</v>
      </c>
      <c r="AH27">
        <v>82.707671199998003</v>
      </c>
      <c r="AI27">
        <v>82.716707299994596</v>
      </c>
      <c r="AJ27">
        <v>82.716707299994596</v>
      </c>
      <c r="AK27">
        <v>82.716707299994596</v>
      </c>
      <c r="AL27">
        <v>3.26579999818932E-3</v>
      </c>
      <c r="AM27">
        <v>87.296538700000298</v>
      </c>
      <c r="AN27" t="s">
        <v>108</v>
      </c>
      <c r="AO27" t="s">
        <v>151</v>
      </c>
      <c r="AP27" t="s">
        <v>152</v>
      </c>
      <c r="AQ27" t="s">
        <v>88</v>
      </c>
      <c r="AR27" t="s">
        <v>89</v>
      </c>
      <c r="AS27" t="s">
        <v>89</v>
      </c>
      <c r="AT27" t="s">
        <v>161</v>
      </c>
      <c r="AU27" t="s">
        <v>91</v>
      </c>
      <c r="AV27" t="s">
        <v>142</v>
      </c>
      <c r="AW27">
        <v>1</v>
      </c>
      <c r="AX27" t="s">
        <v>143</v>
      </c>
      <c r="AY27" t="s">
        <v>58</v>
      </c>
      <c r="BA27" t="s">
        <v>59</v>
      </c>
      <c r="BB27">
        <v>120.531011429728</v>
      </c>
      <c r="BC27" t="s">
        <v>144</v>
      </c>
    </row>
    <row r="28" spans="2:55" x14ac:dyDescent="0.3">
      <c r="B28">
        <v>11</v>
      </c>
      <c r="C28">
        <v>11</v>
      </c>
      <c r="D28">
        <v>0</v>
      </c>
      <c r="G28" t="s">
        <v>135</v>
      </c>
      <c r="H28" t="s">
        <v>67</v>
      </c>
      <c r="I28" t="s">
        <v>76</v>
      </c>
      <c r="J28" t="s">
        <v>67</v>
      </c>
      <c r="K28" t="s">
        <v>151</v>
      </c>
      <c r="L28" t="s">
        <v>152</v>
      </c>
      <c r="M28" t="s">
        <v>88</v>
      </c>
      <c r="N28" t="s">
        <v>89</v>
      </c>
      <c r="O28" t="s">
        <v>89</v>
      </c>
      <c r="P28" t="s">
        <v>162</v>
      </c>
      <c r="Q28" t="s">
        <v>91</v>
      </c>
      <c r="V28">
        <v>0</v>
      </c>
      <c r="W28">
        <v>11</v>
      </c>
      <c r="X28">
        <v>11</v>
      </c>
      <c r="Y28">
        <v>11</v>
      </c>
      <c r="Z28">
        <v>87.307388099994498</v>
      </c>
      <c r="AH28">
        <v>87.300039499997993</v>
      </c>
      <c r="AI28">
        <v>87.307388099994498</v>
      </c>
      <c r="AJ28">
        <v>87.307388099994498</v>
      </c>
      <c r="AK28">
        <v>87.307388099994498</v>
      </c>
      <c r="AL28">
        <v>3.34230000589741E-3</v>
      </c>
      <c r="AM28">
        <v>93.211877999994599</v>
      </c>
      <c r="AN28" t="s">
        <v>67</v>
      </c>
      <c r="AO28" t="s">
        <v>151</v>
      </c>
      <c r="AP28" t="s">
        <v>152</v>
      </c>
      <c r="AQ28" t="s">
        <v>88</v>
      </c>
      <c r="AR28" t="s">
        <v>89</v>
      </c>
      <c r="AS28" t="s">
        <v>89</v>
      </c>
      <c r="AT28" t="s">
        <v>162</v>
      </c>
      <c r="AU28" t="s">
        <v>91</v>
      </c>
      <c r="AV28" t="s">
        <v>142</v>
      </c>
      <c r="AW28">
        <v>1</v>
      </c>
      <c r="AX28" t="s">
        <v>143</v>
      </c>
      <c r="AY28" t="s">
        <v>58</v>
      </c>
      <c r="BA28" t="s">
        <v>59</v>
      </c>
      <c r="BB28">
        <v>120.531011429728</v>
      </c>
      <c r="BC28" t="s">
        <v>144</v>
      </c>
    </row>
    <row r="29" spans="2:55" x14ac:dyDescent="0.3">
      <c r="B29">
        <v>12</v>
      </c>
      <c r="C29">
        <v>12</v>
      </c>
      <c r="D29">
        <v>0</v>
      </c>
      <c r="G29" t="s">
        <v>137</v>
      </c>
      <c r="H29" t="s">
        <v>55</v>
      </c>
      <c r="I29" t="s">
        <v>76</v>
      </c>
      <c r="J29" t="s">
        <v>55</v>
      </c>
      <c r="K29" t="s">
        <v>151</v>
      </c>
      <c r="L29" t="s">
        <v>152</v>
      </c>
      <c r="M29" t="s">
        <v>88</v>
      </c>
      <c r="N29" t="s">
        <v>89</v>
      </c>
      <c r="O29" t="s">
        <v>89</v>
      </c>
      <c r="P29" t="s">
        <v>163</v>
      </c>
      <c r="Q29" t="s">
        <v>91</v>
      </c>
      <c r="V29">
        <v>0</v>
      </c>
      <c r="W29">
        <v>12</v>
      </c>
      <c r="X29">
        <v>12</v>
      </c>
      <c r="Y29">
        <v>3</v>
      </c>
      <c r="Z29">
        <v>93.223184700000203</v>
      </c>
      <c r="AH29">
        <v>93.215493499999795</v>
      </c>
      <c r="AI29">
        <v>93.223184700000203</v>
      </c>
      <c r="AJ29">
        <v>93.223184700000203</v>
      </c>
      <c r="AK29">
        <v>93.223184700000203</v>
      </c>
      <c r="AL29">
        <v>3.4282999986317E-3</v>
      </c>
      <c r="AM29">
        <v>96.713099699998494</v>
      </c>
      <c r="AN29" t="s">
        <v>55</v>
      </c>
      <c r="AO29" t="s">
        <v>151</v>
      </c>
      <c r="AP29" t="s">
        <v>152</v>
      </c>
      <c r="AQ29" t="s">
        <v>88</v>
      </c>
      <c r="AR29" t="s">
        <v>89</v>
      </c>
      <c r="AS29" t="s">
        <v>89</v>
      </c>
      <c r="AT29" t="s">
        <v>163</v>
      </c>
      <c r="AU29" t="s">
        <v>91</v>
      </c>
      <c r="AV29" t="s">
        <v>142</v>
      </c>
      <c r="AW29">
        <v>1</v>
      </c>
      <c r="AX29" t="s">
        <v>143</v>
      </c>
      <c r="AY29" t="s">
        <v>58</v>
      </c>
      <c r="BA29" t="s">
        <v>59</v>
      </c>
      <c r="BB29">
        <v>120.531011429728</v>
      </c>
      <c r="BC29" t="s">
        <v>144</v>
      </c>
    </row>
    <row r="30" spans="2:55" x14ac:dyDescent="0.3">
      <c r="B30">
        <v>13</v>
      </c>
      <c r="C30">
        <v>13</v>
      </c>
      <c r="D30">
        <v>0</v>
      </c>
      <c r="G30" t="s">
        <v>112</v>
      </c>
      <c r="H30" t="s">
        <v>113</v>
      </c>
      <c r="I30" t="s">
        <v>76</v>
      </c>
      <c r="J30" t="s">
        <v>113</v>
      </c>
      <c r="K30" t="s">
        <v>151</v>
      </c>
      <c r="L30" t="s">
        <v>152</v>
      </c>
      <c r="M30" t="s">
        <v>88</v>
      </c>
      <c r="N30" t="s">
        <v>89</v>
      </c>
      <c r="O30" t="s">
        <v>89</v>
      </c>
      <c r="P30" t="s">
        <v>164</v>
      </c>
      <c r="Q30" t="s">
        <v>91</v>
      </c>
      <c r="V30">
        <v>0</v>
      </c>
      <c r="W30">
        <v>13</v>
      </c>
      <c r="X30">
        <v>13</v>
      </c>
      <c r="Y30">
        <v>2</v>
      </c>
      <c r="Z30">
        <v>96.723462999994794</v>
      </c>
      <c r="AH30">
        <v>96.716296200000201</v>
      </c>
      <c r="AI30">
        <v>96.723462999994794</v>
      </c>
      <c r="AJ30">
        <v>96.723462999994794</v>
      </c>
      <c r="AK30">
        <v>96.723462999994794</v>
      </c>
      <c r="AL30">
        <v>3.0540999941876998E-3</v>
      </c>
      <c r="AM30">
        <v>102.028744699993</v>
      </c>
      <c r="AN30" t="s">
        <v>113</v>
      </c>
      <c r="AO30" t="s">
        <v>151</v>
      </c>
      <c r="AP30" t="s">
        <v>152</v>
      </c>
      <c r="AQ30" t="s">
        <v>88</v>
      </c>
      <c r="AR30" t="s">
        <v>89</v>
      </c>
      <c r="AS30" t="s">
        <v>89</v>
      </c>
      <c r="AT30" t="s">
        <v>164</v>
      </c>
      <c r="AU30" t="s">
        <v>91</v>
      </c>
      <c r="AV30" t="s">
        <v>142</v>
      </c>
      <c r="AW30">
        <v>1</v>
      </c>
      <c r="AX30" t="s">
        <v>143</v>
      </c>
      <c r="AY30" t="s">
        <v>58</v>
      </c>
      <c r="BA30" t="s">
        <v>59</v>
      </c>
      <c r="BB30">
        <v>120.531011429728</v>
      </c>
      <c r="BC30" t="s">
        <v>144</v>
      </c>
    </row>
    <row r="31" spans="2:55" x14ac:dyDescent="0.3">
      <c r="B31">
        <v>14</v>
      </c>
      <c r="C31">
        <v>14</v>
      </c>
      <c r="D31">
        <v>0</v>
      </c>
      <c r="G31" t="s">
        <v>130</v>
      </c>
      <c r="H31" t="s">
        <v>131</v>
      </c>
      <c r="I31" t="s">
        <v>85</v>
      </c>
      <c r="J31" t="s">
        <v>131</v>
      </c>
      <c r="K31" t="s">
        <v>151</v>
      </c>
      <c r="L31" t="s">
        <v>152</v>
      </c>
      <c r="M31" t="s">
        <v>88</v>
      </c>
      <c r="N31" t="s">
        <v>89</v>
      </c>
      <c r="O31" t="s">
        <v>89</v>
      </c>
      <c r="P31" t="s">
        <v>165</v>
      </c>
      <c r="Q31" t="s">
        <v>91</v>
      </c>
      <c r="V31">
        <v>0</v>
      </c>
      <c r="W31">
        <v>14</v>
      </c>
      <c r="X31">
        <v>14</v>
      </c>
      <c r="Y31">
        <v>16</v>
      </c>
      <c r="Z31">
        <v>102.039940199996</v>
      </c>
      <c r="AH31">
        <v>102.0325821</v>
      </c>
      <c r="AI31">
        <v>102.039940199996</v>
      </c>
      <c r="AJ31">
        <v>102.039940199996</v>
      </c>
      <c r="AK31">
        <v>102.039940199996</v>
      </c>
      <c r="AL31">
        <v>3.6303999950177898E-3</v>
      </c>
      <c r="AM31">
        <v>106.280520299995</v>
      </c>
      <c r="AN31" t="s">
        <v>131</v>
      </c>
      <c r="AO31" t="s">
        <v>151</v>
      </c>
      <c r="AP31" t="s">
        <v>152</v>
      </c>
      <c r="AQ31" t="s">
        <v>88</v>
      </c>
      <c r="AR31" t="s">
        <v>89</v>
      </c>
      <c r="AS31" t="s">
        <v>89</v>
      </c>
      <c r="AT31" t="s">
        <v>165</v>
      </c>
      <c r="AU31" t="s">
        <v>91</v>
      </c>
      <c r="AV31" t="s">
        <v>142</v>
      </c>
      <c r="AW31">
        <v>1</v>
      </c>
      <c r="AX31" t="s">
        <v>143</v>
      </c>
      <c r="AY31" t="s">
        <v>58</v>
      </c>
      <c r="BA31" t="s">
        <v>59</v>
      </c>
      <c r="BB31">
        <v>120.531011429728</v>
      </c>
      <c r="BC31" t="s">
        <v>144</v>
      </c>
    </row>
    <row r="32" spans="2:55" x14ac:dyDescent="0.3">
      <c r="B32">
        <v>15</v>
      </c>
      <c r="C32">
        <v>15</v>
      </c>
      <c r="D32">
        <v>0</v>
      </c>
      <c r="G32" t="s">
        <v>119</v>
      </c>
      <c r="H32" t="s">
        <v>120</v>
      </c>
      <c r="I32" t="s">
        <v>85</v>
      </c>
      <c r="J32" t="s">
        <v>120</v>
      </c>
      <c r="K32" t="s">
        <v>151</v>
      </c>
      <c r="L32" t="s">
        <v>152</v>
      </c>
      <c r="M32" t="s">
        <v>88</v>
      </c>
      <c r="N32" t="s">
        <v>89</v>
      </c>
      <c r="O32" t="s">
        <v>89</v>
      </c>
      <c r="P32" t="s">
        <v>166</v>
      </c>
      <c r="Q32" t="s">
        <v>91</v>
      </c>
      <c r="V32">
        <v>0</v>
      </c>
      <c r="W32">
        <v>15</v>
      </c>
      <c r="X32">
        <v>15</v>
      </c>
      <c r="Y32">
        <v>19</v>
      </c>
      <c r="Z32">
        <v>106.29231719999299</v>
      </c>
      <c r="AH32">
        <v>106.2844358</v>
      </c>
      <c r="AI32">
        <v>106.29231719999299</v>
      </c>
      <c r="AJ32">
        <v>106.29231719999299</v>
      </c>
      <c r="AK32">
        <v>106.29231719999299</v>
      </c>
      <c r="AL32">
        <v>3.7152000004425602E-3</v>
      </c>
      <c r="AM32">
        <v>110.8724335</v>
      </c>
      <c r="AN32" t="s">
        <v>120</v>
      </c>
      <c r="AO32" t="s">
        <v>151</v>
      </c>
      <c r="AP32" t="s">
        <v>152</v>
      </c>
      <c r="AQ32" t="s">
        <v>88</v>
      </c>
      <c r="AR32" t="s">
        <v>89</v>
      </c>
      <c r="AS32" t="s">
        <v>89</v>
      </c>
      <c r="AT32" t="s">
        <v>166</v>
      </c>
      <c r="AU32" t="s">
        <v>91</v>
      </c>
      <c r="AV32" t="s">
        <v>142</v>
      </c>
      <c r="AW32">
        <v>1</v>
      </c>
      <c r="AX32" t="s">
        <v>143</v>
      </c>
      <c r="AY32" t="s">
        <v>58</v>
      </c>
      <c r="BA32" t="s">
        <v>59</v>
      </c>
      <c r="BB32">
        <v>120.531011429728</v>
      </c>
      <c r="BC32" t="s">
        <v>144</v>
      </c>
    </row>
    <row r="33" spans="2:55" x14ac:dyDescent="0.3">
      <c r="B33">
        <v>16</v>
      </c>
      <c r="C33">
        <v>16</v>
      </c>
      <c r="D33">
        <v>0</v>
      </c>
      <c r="G33" t="s">
        <v>133</v>
      </c>
      <c r="H33" t="s">
        <v>71</v>
      </c>
      <c r="I33" t="s">
        <v>76</v>
      </c>
      <c r="J33" t="s">
        <v>69</v>
      </c>
      <c r="K33" t="s">
        <v>151</v>
      </c>
      <c r="L33" t="s">
        <v>152</v>
      </c>
      <c r="M33" t="s">
        <v>88</v>
      </c>
      <c r="N33" t="s">
        <v>89</v>
      </c>
      <c r="O33" t="s">
        <v>89</v>
      </c>
      <c r="P33" t="s">
        <v>167</v>
      </c>
      <c r="Q33" t="s">
        <v>91</v>
      </c>
      <c r="V33">
        <v>0</v>
      </c>
      <c r="W33">
        <v>16</v>
      </c>
      <c r="X33">
        <v>16</v>
      </c>
      <c r="Y33">
        <v>4</v>
      </c>
      <c r="Z33">
        <v>110.884767999996</v>
      </c>
      <c r="AH33">
        <v>110.876235499999</v>
      </c>
      <c r="AI33">
        <v>110.884767999996</v>
      </c>
      <c r="AJ33">
        <v>110.884767999996</v>
      </c>
      <c r="AK33">
        <v>110.884767999996</v>
      </c>
      <c r="AL33">
        <v>3.6780999944312498E-3</v>
      </c>
      <c r="AM33">
        <v>131.16048409999999</v>
      </c>
      <c r="AN33" t="s">
        <v>69</v>
      </c>
      <c r="AO33" t="s">
        <v>151</v>
      </c>
      <c r="AP33" t="s">
        <v>152</v>
      </c>
      <c r="AQ33" t="s">
        <v>88</v>
      </c>
      <c r="AR33" t="s">
        <v>89</v>
      </c>
      <c r="AS33" t="s">
        <v>89</v>
      </c>
      <c r="AT33" t="s">
        <v>167</v>
      </c>
      <c r="AU33" t="s">
        <v>91</v>
      </c>
      <c r="AV33" t="s">
        <v>142</v>
      </c>
      <c r="AW33">
        <v>1</v>
      </c>
      <c r="AX33" t="s">
        <v>143</v>
      </c>
      <c r="AY33" t="s">
        <v>58</v>
      </c>
      <c r="BA33" t="s">
        <v>59</v>
      </c>
      <c r="BB33">
        <v>120.531011429728</v>
      </c>
      <c r="BC33" t="s">
        <v>144</v>
      </c>
    </row>
    <row r="34" spans="2:55" x14ac:dyDescent="0.3">
      <c r="B34">
        <v>17</v>
      </c>
      <c r="C34">
        <v>17</v>
      </c>
      <c r="D34">
        <v>0</v>
      </c>
      <c r="G34" t="s">
        <v>103</v>
      </c>
      <c r="H34" t="s">
        <v>63</v>
      </c>
      <c r="I34" t="s">
        <v>76</v>
      </c>
      <c r="J34" t="s">
        <v>63</v>
      </c>
      <c r="K34" t="s">
        <v>151</v>
      </c>
      <c r="L34" t="s">
        <v>152</v>
      </c>
      <c r="M34" t="s">
        <v>88</v>
      </c>
      <c r="N34" t="s">
        <v>89</v>
      </c>
      <c r="O34" t="s">
        <v>89</v>
      </c>
      <c r="P34" t="s">
        <v>168</v>
      </c>
      <c r="Q34" t="s">
        <v>91</v>
      </c>
      <c r="V34">
        <v>0</v>
      </c>
      <c r="W34">
        <v>17</v>
      </c>
      <c r="X34">
        <v>17</v>
      </c>
      <c r="Y34">
        <v>1</v>
      </c>
      <c r="Z34">
        <v>131.171841699993</v>
      </c>
      <c r="AH34">
        <v>131.16447569999499</v>
      </c>
      <c r="AI34">
        <v>131.171841699993</v>
      </c>
      <c r="AJ34">
        <v>131.171841699993</v>
      </c>
      <c r="AK34">
        <v>131.171841699993</v>
      </c>
      <c r="AL34">
        <v>3.8375000003725199E-3</v>
      </c>
      <c r="AM34">
        <v>138.588970799995</v>
      </c>
      <c r="AN34" t="s">
        <v>63</v>
      </c>
      <c r="AO34" t="s">
        <v>151</v>
      </c>
      <c r="AP34" t="s">
        <v>152</v>
      </c>
      <c r="AQ34" t="s">
        <v>88</v>
      </c>
      <c r="AR34" t="s">
        <v>89</v>
      </c>
      <c r="AS34" t="s">
        <v>89</v>
      </c>
      <c r="AT34" t="s">
        <v>168</v>
      </c>
      <c r="AU34" t="s">
        <v>91</v>
      </c>
      <c r="AV34" t="s">
        <v>142</v>
      </c>
      <c r="AW34">
        <v>1</v>
      </c>
      <c r="AX34" t="s">
        <v>143</v>
      </c>
      <c r="AY34" t="s">
        <v>58</v>
      </c>
      <c r="BA34" t="s">
        <v>59</v>
      </c>
      <c r="BB34">
        <v>120.531011429728</v>
      </c>
      <c r="BC34" t="s">
        <v>144</v>
      </c>
    </row>
    <row r="35" spans="2:55" x14ac:dyDescent="0.3">
      <c r="B35">
        <v>18</v>
      </c>
      <c r="C35">
        <v>18</v>
      </c>
      <c r="D35">
        <v>0</v>
      </c>
      <c r="G35" t="s">
        <v>92</v>
      </c>
      <c r="H35" t="s">
        <v>65</v>
      </c>
      <c r="I35" t="s">
        <v>76</v>
      </c>
      <c r="J35" t="s">
        <v>70</v>
      </c>
      <c r="K35" t="s">
        <v>151</v>
      </c>
      <c r="L35" t="s">
        <v>152</v>
      </c>
      <c r="M35" t="s">
        <v>88</v>
      </c>
      <c r="N35" t="s">
        <v>89</v>
      </c>
      <c r="O35" t="s">
        <v>89</v>
      </c>
      <c r="P35" t="s">
        <v>169</v>
      </c>
      <c r="Q35" t="s">
        <v>91</v>
      </c>
      <c r="V35">
        <v>0</v>
      </c>
      <c r="W35">
        <v>18</v>
      </c>
      <c r="X35">
        <v>18</v>
      </c>
      <c r="Y35">
        <v>6</v>
      </c>
      <c r="Z35">
        <v>138.60069289999899</v>
      </c>
      <c r="AH35">
        <v>138.592483899999</v>
      </c>
      <c r="AI35">
        <v>138.60069289999899</v>
      </c>
      <c r="AJ35">
        <v>138.60069289999899</v>
      </c>
      <c r="AK35">
        <v>138.60069289999899</v>
      </c>
      <c r="AL35">
        <v>3.3541000011609802E-3</v>
      </c>
      <c r="AM35">
        <v>156.83960490000001</v>
      </c>
      <c r="AN35" t="s">
        <v>70</v>
      </c>
      <c r="AO35" t="s">
        <v>151</v>
      </c>
      <c r="AP35" t="s">
        <v>152</v>
      </c>
      <c r="AQ35" t="s">
        <v>88</v>
      </c>
      <c r="AR35" t="s">
        <v>89</v>
      </c>
      <c r="AS35" t="s">
        <v>89</v>
      </c>
      <c r="AT35" t="s">
        <v>169</v>
      </c>
      <c r="AU35" t="s">
        <v>91</v>
      </c>
      <c r="AV35" t="s">
        <v>142</v>
      </c>
      <c r="AW35">
        <v>1</v>
      </c>
      <c r="AX35" t="s">
        <v>143</v>
      </c>
      <c r="AY35" t="s">
        <v>58</v>
      </c>
      <c r="BA35" t="s">
        <v>59</v>
      </c>
      <c r="BB35">
        <v>120.531011429728</v>
      </c>
      <c r="BC35" t="s">
        <v>144</v>
      </c>
    </row>
    <row r="36" spans="2:55" x14ac:dyDescent="0.3">
      <c r="B36">
        <v>19</v>
      </c>
      <c r="C36">
        <v>19</v>
      </c>
      <c r="D36">
        <v>0</v>
      </c>
      <c r="G36" t="s">
        <v>124</v>
      </c>
      <c r="H36" t="s">
        <v>62</v>
      </c>
      <c r="I36" t="s">
        <v>76</v>
      </c>
      <c r="J36" t="s">
        <v>170</v>
      </c>
      <c r="K36" t="s">
        <v>171</v>
      </c>
      <c r="L36" t="s">
        <v>172</v>
      </c>
      <c r="M36" t="s">
        <v>79</v>
      </c>
      <c r="N36" t="s">
        <v>80</v>
      </c>
      <c r="O36" t="s">
        <v>80</v>
      </c>
      <c r="P36" t="s">
        <v>173</v>
      </c>
      <c r="Q36" t="s">
        <v>82</v>
      </c>
      <c r="V36">
        <v>0</v>
      </c>
      <c r="W36">
        <v>19</v>
      </c>
      <c r="X36">
        <v>19</v>
      </c>
      <c r="Y36">
        <v>12</v>
      </c>
      <c r="Z36">
        <v>156.853115199999</v>
      </c>
      <c r="AH36">
        <v>156.84337319999699</v>
      </c>
      <c r="AI36">
        <v>156.853115199999</v>
      </c>
      <c r="AJ36">
        <v>156.853115199999</v>
      </c>
      <c r="AK36">
        <v>156.853115199999</v>
      </c>
      <c r="AL36">
        <v>3.61949999933131E-3</v>
      </c>
      <c r="AM36">
        <v>167.27995459999499</v>
      </c>
      <c r="AN36" t="s">
        <v>170</v>
      </c>
      <c r="AO36" t="s">
        <v>171</v>
      </c>
      <c r="AP36" t="s">
        <v>172</v>
      </c>
      <c r="AQ36" t="s">
        <v>79</v>
      </c>
      <c r="AR36" t="s">
        <v>80</v>
      </c>
      <c r="AS36" t="s">
        <v>80</v>
      </c>
      <c r="AT36" t="s">
        <v>173</v>
      </c>
      <c r="AU36" t="s">
        <v>82</v>
      </c>
      <c r="AV36" t="s">
        <v>142</v>
      </c>
      <c r="AW36">
        <v>1</v>
      </c>
      <c r="AX36" t="s">
        <v>143</v>
      </c>
      <c r="AY36" t="s">
        <v>58</v>
      </c>
      <c r="BA36" t="s">
        <v>59</v>
      </c>
      <c r="BB36">
        <v>120.531011429728</v>
      </c>
      <c r="BC36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F455-3B04-4D79-9E7F-9600FEE06F0D}">
  <dimension ref="A1:H21"/>
  <sheetViews>
    <sheetView workbookViewId="0">
      <selection sqref="A1:H21"/>
    </sheetView>
  </sheetViews>
  <sheetFormatPr defaultRowHeight="14.4" x14ac:dyDescent="0.3"/>
  <sheetData>
    <row r="1" spans="1:8" x14ac:dyDescent="0.3">
      <c r="A1" t="s">
        <v>7</v>
      </c>
      <c r="B1" t="s">
        <v>8</v>
      </c>
      <c r="C1" t="s">
        <v>9</v>
      </c>
      <c r="D1" t="s">
        <v>139</v>
      </c>
      <c r="G1">
        <v>12</v>
      </c>
      <c r="H1">
        <f>G1/15</f>
        <v>0.8</v>
      </c>
    </row>
    <row r="2" spans="1:8" x14ac:dyDescent="0.3">
      <c r="A2" t="s">
        <v>68</v>
      </c>
      <c r="B2" t="s">
        <v>76</v>
      </c>
      <c r="C2" t="s">
        <v>68</v>
      </c>
      <c r="D2" t="s">
        <v>140</v>
      </c>
      <c r="G2">
        <v>5</v>
      </c>
      <c r="H2">
        <f>G2/5</f>
        <v>1</v>
      </c>
    </row>
    <row r="3" spans="1:8" x14ac:dyDescent="0.3">
      <c r="A3" t="s">
        <v>74</v>
      </c>
      <c r="B3" t="s">
        <v>76</v>
      </c>
      <c r="C3" t="s">
        <v>74</v>
      </c>
    </row>
    <row r="4" spans="1:8" x14ac:dyDescent="0.3">
      <c r="A4" t="s">
        <v>73</v>
      </c>
      <c r="B4" t="s">
        <v>76</v>
      </c>
      <c r="C4" t="s">
        <v>73</v>
      </c>
      <c r="F4" t="s">
        <v>141</v>
      </c>
      <c r="G4">
        <f>H1-H2</f>
        <v>-0.19999999999999996</v>
      </c>
    </row>
    <row r="5" spans="1:8" x14ac:dyDescent="0.3">
      <c r="A5" t="s">
        <v>84</v>
      </c>
      <c r="B5" t="s">
        <v>85</v>
      </c>
      <c r="C5" s="1" t="s">
        <v>84</v>
      </c>
    </row>
    <row r="6" spans="1:8" x14ac:dyDescent="0.3">
      <c r="A6" t="s">
        <v>64</v>
      </c>
      <c r="B6" t="s">
        <v>76</v>
      </c>
      <c r="C6" t="s">
        <v>64</v>
      </c>
    </row>
    <row r="7" spans="1:8" x14ac:dyDescent="0.3">
      <c r="A7" t="s">
        <v>72</v>
      </c>
      <c r="B7" t="s">
        <v>76</v>
      </c>
      <c r="C7" t="s">
        <v>72</v>
      </c>
    </row>
    <row r="8" spans="1:8" x14ac:dyDescent="0.3">
      <c r="A8" t="s">
        <v>61</v>
      </c>
      <c r="B8" t="s">
        <v>76</v>
      </c>
      <c r="C8" t="s">
        <v>61</v>
      </c>
    </row>
    <row r="9" spans="1:8" x14ac:dyDescent="0.3">
      <c r="A9" t="s">
        <v>95</v>
      </c>
      <c r="B9" t="s">
        <v>85</v>
      </c>
      <c r="C9" s="1" t="s">
        <v>95</v>
      </c>
    </row>
    <row r="10" spans="1:8" x14ac:dyDescent="0.3">
      <c r="A10" t="s">
        <v>70</v>
      </c>
      <c r="B10" t="s">
        <v>76</v>
      </c>
      <c r="C10" t="s">
        <v>70</v>
      </c>
    </row>
    <row r="11" spans="1:8" x14ac:dyDescent="0.3">
      <c r="A11" t="s">
        <v>69</v>
      </c>
      <c r="B11" t="s">
        <v>76</v>
      </c>
      <c r="C11" t="s">
        <v>69</v>
      </c>
    </row>
    <row r="12" spans="1:8" x14ac:dyDescent="0.3">
      <c r="A12" t="s">
        <v>108</v>
      </c>
      <c r="B12" t="s">
        <v>85</v>
      </c>
      <c r="C12" s="1" t="s">
        <v>108</v>
      </c>
    </row>
    <row r="13" spans="1:8" x14ac:dyDescent="0.3">
      <c r="A13" t="s">
        <v>67</v>
      </c>
      <c r="B13" t="s">
        <v>76</v>
      </c>
      <c r="C13" t="s">
        <v>67</v>
      </c>
    </row>
    <row r="14" spans="1:8" x14ac:dyDescent="0.3">
      <c r="A14" t="s">
        <v>55</v>
      </c>
      <c r="B14" t="s">
        <v>76</v>
      </c>
      <c r="C14" t="s">
        <v>55</v>
      </c>
    </row>
    <row r="15" spans="1:8" x14ac:dyDescent="0.3">
      <c r="A15" t="s">
        <v>113</v>
      </c>
      <c r="B15" t="s">
        <v>76</v>
      </c>
      <c r="C15" t="s">
        <v>113</v>
      </c>
    </row>
    <row r="16" spans="1:8" x14ac:dyDescent="0.3">
      <c r="A16" t="s">
        <v>131</v>
      </c>
      <c r="B16" t="s">
        <v>85</v>
      </c>
      <c r="C16" s="1" t="s">
        <v>131</v>
      </c>
    </row>
    <row r="17" spans="1:3" x14ac:dyDescent="0.3">
      <c r="A17" t="s">
        <v>120</v>
      </c>
      <c r="B17" t="s">
        <v>85</v>
      </c>
      <c r="C17" s="1" t="s">
        <v>120</v>
      </c>
    </row>
    <row r="18" spans="1:3" x14ac:dyDescent="0.3">
      <c r="A18" t="s">
        <v>71</v>
      </c>
      <c r="B18" t="s">
        <v>76</v>
      </c>
      <c r="C18" s="2" t="s">
        <v>69</v>
      </c>
    </row>
    <row r="19" spans="1:3" x14ac:dyDescent="0.3">
      <c r="A19" t="s">
        <v>63</v>
      </c>
      <c r="B19" t="s">
        <v>76</v>
      </c>
      <c r="C19" t="s">
        <v>63</v>
      </c>
    </row>
    <row r="20" spans="1:3" x14ac:dyDescent="0.3">
      <c r="A20" t="s">
        <v>65</v>
      </c>
      <c r="B20" t="s">
        <v>76</v>
      </c>
      <c r="C20" s="2" t="s">
        <v>70</v>
      </c>
    </row>
    <row r="21" spans="1:3" x14ac:dyDescent="0.3">
      <c r="A21" t="s">
        <v>62</v>
      </c>
      <c r="B21" t="s">
        <v>76</v>
      </c>
      <c r="C21" s="2" t="s">
        <v>170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8A4A-2CC6-4D41-A2F5-A6C9C51C0E03}">
  <dimension ref="A1:BC36"/>
  <sheetViews>
    <sheetView workbookViewId="0">
      <selection sqref="A1:XFD1048576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68</v>
      </c>
      <c r="B2">
        <v>0</v>
      </c>
      <c r="C2">
        <v>0</v>
      </c>
      <c r="D2">
        <v>0</v>
      </c>
      <c r="E2">
        <v>1.0185185185185099</v>
      </c>
      <c r="F2">
        <v>1.4718678000062899</v>
      </c>
      <c r="R2">
        <v>0</v>
      </c>
      <c r="S2">
        <v>0</v>
      </c>
      <c r="T2">
        <v>0</v>
      </c>
      <c r="U2">
        <v>10</v>
      </c>
      <c r="Z2">
        <v>4.4592600002943003E-2</v>
      </c>
      <c r="AB2">
        <v>1.7381300000124601E-2</v>
      </c>
      <c r="AC2">
        <v>4.4592600002943003E-2</v>
      </c>
      <c r="AD2">
        <v>4.4592600002943003E-2</v>
      </c>
      <c r="AE2">
        <v>1.49511229999916</v>
      </c>
      <c r="AF2">
        <v>1.0185185185185099</v>
      </c>
      <c r="AG2">
        <v>1.4718678000062899</v>
      </c>
      <c r="AV2">
        <v>2</v>
      </c>
      <c r="AW2">
        <v>1</v>
      </c>
      <c r="AX2" t="s">
        <v>174</v>
      </c>
      <c r="AY2" t="s">
        <v>58</v>
      </c>
      <c r="BA2" t="s">
        <v>59</v>
      </c>
      <c r="BB2">
        <v>120.268053434433</v>
      </c>
      <c r="BC2" t="s">
        <v>175</v>
      </c>
    </row>
    <row r="3" spans="1:55" x14ac:dyDescent="0.3">
      <c r="A3" t="s">
        <v>55</v>
      </c>
      <c r="B3">
        <v>1</v>
      </c>
      <c r="C3">
        <v>1</v>
      </c>
      <c r="D3">
        <v>0</v>
      </c>
      <c r="E3">
        <v>1.0185185185185099</v>
      </c>
      <c r="F3">
        <v>1.02705300000525</v>
      </c>
      <c r="R3">
        <v>0</v>
      </c>
      <c r="S3">
        <v>1</v>
      </c>
      <c r="T3">
        <v>1</v>
      </c>
      <c r="U3">
        <v>8</v>
      </c>
      <c r="Z3">
        <v>1.5047990000020901</v>
      </c>
      <c r="AB3">
        <v>1.4977509000018401</v>
      </c>
      <c r="AC3">
        <v>1.5047990000020901</v>
      </c>
      <c r="AD3">
        <v>1.5047990000020901</v>
      </c>
      <c r="AE3">
        <v>2.53265259999898</v>
      </c>
      <c r="AF3">
        <v>1.0185185185185099</v>
      </c>
      <c r="AG3">
        <v>1.02705300000525</v>
      </c>
      <c r="AV3">
        <v>2</v>
      </c>
      <c r="AW3">
        <v>1</v>
      </c>
      <c r="AX3" t="s">
        <v>174</v>
      </c>
      <c r="AY3" t="s">
        <v>58</v>
      </c>
      <c r="BA3" t="s">
        <v>59</v>
      </c>
      <c r="BB3">
        <v>120.268053434433</v>
      </c>
      <c r="BC3" t="s">
        <v>175</v>
      </c>
    </row>
    <row r="4" spans="1:55" x14ac:dyDescent="0.3">
      <c r="A4" t="s">
        <v>64</v>
      </c>
      <c r="B4">
        <v>2</v>
      </c>
      <c r="C4">
        <v>2</v>
      </c>
      <c r="D4">
        <v>0</v>
      </c>
      <c r="E4">
        <v>1.0185185185185099</v>
      </c>
      <c r="F4">
        <v>0.98876230000314502</v>
      </c>
      <c r="R4">
        <v>0</v>
      </c>
      <c r="S4">
        <v>2</v>
      </c>
      <c r="T4">
        <v>2</v>
      </c>
      <c r="U4">
        <v>5</v>
      </c>
      <c r="Z4">
        <v>2.5427868999977301</v>
      </c>
      <c r="AB4">
        <v>2.5364907000039199</v>
      </c>
      <c r="AC4">
        <v>2.5427868999977301</v>
      </c>
      <c r="AD4">
        <v>2.5427868999977301</v>
      </c>
      <c r="AE4">
        <v>3.5328077000012801</v>
      </c>
      <c r="AF4">
        <v>1.0185185185185099</v>
      </c>
      <c r="AG4">
        <v>0.98876230000314502</v>
      </c>
      <c r="AV4">
        <v>2</v>
      </c>
      <c r="AW4">
        <v>1</v>
      </c>
      <c r="AX4" t="s">
        <v>174</v>
      </c>
      <c r="AY4" t="s">
        <v>58</v>
      </c>
      <c r="BA4" t="s">
        <v>59</v>
      </c>
      <c r="BB4">
        <v>120.268053434433</v>
      </c>
      <c r="BC4" t="s">
        <v>175</v>
      </c>
    </row>
    <row r="5" spans="1:55" x14ac:dyDescent="0.3">
      <c r="A5" t="s">
        <v>62</v>
      </c>
      <c r="B5">
        <v>3</v>
      </c>
      <c r="C5">
        <v>3</v>
      </c>
      <c r="D5">
        <v>0</v>
      </c>
      <c r="E5">
        <v>1.0185185185185099</v>
      </c>
      <c r="F5">
        <v>1.6923736000026099</v>
      </c>
      <c r="R5">
        <v>0</v>
      </c>
      <c r="S5">
        <v>3</v>
      </c>
      <c r="T5">
        <v>3</v>
      </c>
      <c r="U5">
        <v>2</v>
      </c>
      <c r="Z5">
        <v>3.5451019000029098</v>
      </c>
      <c r="AB5">
        <v>3.5386897999997</v>
      </c>
      <c r="AC5">
        <v>3.5451019000029098</v>
      </c>
      <c r="AD5">
        <v>3.5451019000029098</v>
      </c>
      <c r="AE5">
        <v>5.2387792000008604</v>
      </c>
      <c r="AF5">
        <v>1.0185185185185099</v>
      </c>
      <c r="AG5">
        <v>1.6923736000026099</v>
      </c>
      <c r="AV5">
        <v>2</v>
      </c>
      <c r="AW5">
        <v>1</v>
      </c>
      <c r="AX5" t="s">
        <v>174</v>
      </c>
      <c r="AY5" t="s">
        <v>58</v>
      </c>
      <c r="BA5" t="s">
        <v>59</v>
      </c>
      <c r="BB5">
        <v>120.268053434433</v>
      </c>
      <c r="BC5" t="s">
        <v>175</v>
      </c>
    </row>
    <row r="6" spans="1:55" x14ac:dyDescent="0.3">
      <c r="A6" t="s">
        <v>72</v>
      </c>
      <c r="B6">
        <v>4</v>
      </c>
      <c r="C6">
        <v>4</v>
      </c>
      <c r="D6">
        <v>0</v>
      </c>
      <c r="E6">
        <v>1.0185185185185099</v>
      </c>
      <c r="F6">
        <v>1.2997789999935701</v>
      </c>
      <c r="R6">
        <v>0</v>
      </c>
      <c r="S6">
        <v>4</v>
      </c>
      <c r="T6">
        <v>4</v>
      </c>
      <c r="U6">
        <v>4</v>
      </c>
      <c r="Z6">
        <v>5.2487400000027202</v>
      </c>
      <c r="AB6">
        <v>5.2431222000013804</v>
      </c>
      <c r="AC6">
        <v>5.2487400000027202</v>
      </c>
      <c r="AD6">
        <v>5.2487400000027202</v>
      </c>
      <c r="AE6">
        <v>6.5507295999996096</v>
      </c>
      <c r="AF6">
        <v>1.0185185185185099</v>
      </c>
      <c r="AG6">
        <v>1.2997789999935701</v>
      </c>
      <c r="AV6">
        <v>2</v>
      </c>
      <c r="AW6">
        <v>1</v>
      </c>
      <c r="AX6" t="s">
        <v>174</v>
      </c>
      <c r="AY6" t="s">
        <v>58</v>
      </c>
      <c r="BA6" t="s">
        <v>59</v>
      </c>
      <c r="BB6">
        <v>120.268053434433</v>
      </c>
      <c r="BC6" t="s">
        <v>175</v>
      </c>
    </row>
    <row r="7" spans="1:55" x14ac:dyDescent="0.3">
      <c r="A7" t="s">
        <v>71</v>
      </c>
      <c r="B7">
        <v>5</v>
      </c>
      <c r="C7">
        <v>5</v>
      </c>
      <c r="D7">
        <v>0</v>
      </c>
      <c r="E7">
        <v>1.0185185185185099</v>
      </c>
      <c r="F7">
        <v>0.95507410000573101</v>
      </c>
      <c r="R7">
        <v>0</v>
      </c>
      <c r="S7">
        <v>5</v>
      </c>
      <c r="T7">
        <v>5</v>
      </c>
      <c r="U7">
        <v>9</v>
      </c>
      <c r="Z7">
        <v>6.5616758999967697</v>
      </c>
      <c r="AB7">
        <v>6.5551863000000496</v>
      </c>
      <c r="AC7">
        <v>6.5616758999967697</v>
      </c>
      <c r="AD7">
        <v>6.5616758999967697</v>
      </c>
      <c r="AE7">
        <v>7.51812090000021</v>
      </c>
      <c r="AF7">
        <v>1.0185185185185099</v>
      </c>
      <c r="AG7">
        <v>0.95507410000573101</v>
      </c>
      <c r="AV7">
        <v>2</v>
      </c>
      <c r="AW7">
        <v>1</v>
      </c>
      <c r="AX7" t="s">
        <v>174</v>
      </c>
      <c r="AY7" t="s">
        <v>58</v>
      </c>
      <c r="BA7" t="s">
        <v>59</v>
      </c>
      <c r="BB7">
        <v>120.268053434433</v>
      </c>
      <c r="BC7" t="s">
        <v>175</v>
      </c>
    </row>
    <row r="8" spans="1:55" x14ac:dyDescent="0.3">
      <c r="A8" t="s">
        <v>61</v>
      </c>
      <c r="B8">
        <v>6</v>
      </c>
      <c r="C8">
        <v>6</v>
      </c>
      <c r="D8">
        <v>0</v>
      </c>
      <c r="E8">
        <v>1.0185185185185099</v>
      </c>
      <c r="F8">
        <v>0.900887600000714</v>
      </c>
      <c r="R8">
        <v>0</v>
      </c>
      <c r="S8">
        <v>6</v>
      </c>
      <c r="T8">
        <v>6</v>
      </c>
      <c r="U8">
        <v>12</v>
      </c>
      <c r="Z8">
        <v>7.5283802999983802</v>
      </c>
      <c r="AB8">
        <v>7.5214349000016201</v>
      </c>
      <c r="AC8">
        <v>7.5283802999983802</v>
      </c>
      <c r="AD8">
        <v>7.5283802999983802</v>
      </c>
      <c r="AE8">
        <v>8.4303310000031999</v>
      </c>
      <c r="AF8">
        <v>1.0185185185185099</v>
      </c>
      <c r="AG8">
        <v>0.900887600000714</v>
      </c>
      <c r="AV8">
        <v>2</v>
      </c>
      <c r="AW8">
        <v>1</v>
      </c>
      <c r="AX8" t="s">
        <v>174</v>
      </c>
      <c r="AY8" t="s">
        <v>58</v>
      </c>
      <c r="BA8" t="s">
        <v>59</v>
      </c>
      <c r="BB8">
        <v>120.268053434433</v>
      </c>
      <c r="BC8" t="s">
        <v>175</v>
      </c>
    </row>
    <row r="9" spans="1:55" x14ac:dyDescent="0.3">
      <c r="A9" t="s">
        <v>67</v>
      </c>
      <c r="B9">
        <v>7</v>
      </c>
      <c r="C9">
        <v>7</v>
      </c>
      <c r="D9">
        <v>0</v>
      </c>
      <c r="E9">
        <v>1.0185185185185099</v>
      </c>
      <c r="F9">
        <v>0.89028520000283595</v>
      </c>
      <c r="R9">
        <v>0</v>
      </c>
      <c r="S9">
        <v>7</v>
      </c>
      <c r="T9">
        <v>7</v>
      </c>
      <c r="U9">
        <v>3</v>
      </c>
      <c r="Z9">
        <v>8.4378779000035102</v>
      </c>
      <c r="AB9">
        <v>8.4327258999983297</v>
      </c>
      <c r="AC9">
        <v>8.4378779000035102</v>
      </c>
      <c r="AD9">
        <v>8.4378779000035102</v>
      </c>
      <c r="AE9">
        <v>9.3294290999983698</v>
      </c>
      <c r="AF9">
        <v>1.0185185185185099</v>
      </c>
      <c r="AG9">
        <v>0.89028520000283595</v>
      </c>
      <c r="AV9">
        <v>2</v>
      </c>
      <c r="AW9">
        <v>1</v>
      </c>
      <c r="AX9" t="s">
        <v>174</v>
      </c>
      <c r="AY9" t="s">
        <v>58</v>
      </c>
      <c r="BA9" t="s">
        <v>59</v>
      </c>
      <c r="BB9">
        <v>120.268053434433</v>
      </c>
      <c r="BC9" t="s">
        <v>175</v>
      </c>
    </row>
    <row r="10" spans="1:55" x14ac:dyDescent="0.3">
      <c r="A10" t="s">
        <v>70</v>
      </c>
      <c r="B10">
        <v>8</v>
      </c>
      <c r="C10">
        <v>8</v>
      </c>
      <c r="D10">
        <v>0</v>
      </c>
      <c r="E10">
        <v>1.0185185185185099</v>
      </c>
      <c r="F10">
        <v>1.8915043000015399</v>
      </c>
      <c r="R10">
        <v>0</v>
      </c>
      <c r="S10">
        <v>8</v>
      </c>
      <c r="T10">
        <v>8</v>
      </c>
      <c r="U10">
        <v>1</v>
      </c>
      <c r="Z10">
        <v>9.3375630000009497</v>
      </c>
      <c r="AB10">
        <v>9.3320863999979302</v>
      </c>
      <c r="AC10">
        <v>9.3375630000009497</v>
      </c>
      <c r="AD10">
        <v>9.3375630000009497</v>
      </c>
      <c r="AE10">
        <v>11.2322408999971</v>
      </c>
      <c r="AF10">
        <v>1.0185185185185099</v>
      </c>
      <c r="AG10">
        <v>1.8915043000015399</v>
      </c>
      <c r="AV10">
        <v>2</v>
      </c>
      <c r="AW10">
        <v>1</v>
      </c>
      <c r="AX10" t="s">
        <v>174</v>
      </c>
      <c r="AY10" t="s">
        <v>58</v>
      </c>
      <c r="BA10" t="s">
        <v>59</v>
      </c>
      <c r="BB10">
        <v>120.268053434433</v>
      </c>
      <c r="BC10" t="s">
        <v>175</v>
      </c>
    </row>
    <row r="11" spans="1:55" x14ac:dyDescent="0.3">
      <c r="A11" t="s">
        <v>69</v>
      </c>
      <c r="B11">
        <v>9</v>
      </c>
      <c r="C11">
        <v>9</v>
      </c>
      <c r="D11">
        <v>0</v>
      </c>
      <c r="E11">
        <v>1.0185185185185099</v>
      </c>
      <c r="F11">
        <v>2.8037948999990401</v>
      </c>
      <c r="R11">
        <v>0</v>
      </c>
      <c r="S11">
        <v>9</v>
      </c>
      <c r="T11">
        <v>9</v>
      </c>
      <c r="U11">
        <v>14</v>
      </c>
      <c r="Z11">
        <v>11.2423185000006</v>
      </c>
      <c r="AB11">
        <v>11.2357226000021</v>
      </c>
      <c r="AC11">
        <v>11.2423185000006</v>
      </c>
      <c r="AD11">
        <v>11.2423185000006</v>
      </c>
      <c r="AE11">
        <v>14.0470797000016</v>
      </c>
      <c r="AF11">
        <v>1.0185185185185099</v>
      </c>
      <c r="AG11">
        <v>2.8037948999990401</v>
      </c>
      <c r="AV11">
        <v>2</v>
      </c>
      <c r="AW11">
        <v>1</v>
      </c>
      <c r="AX11" t="s">
        <v>174</v>
      </c>
      <c r="AY11" t="s">
        <v>58</v>
      </c>
      <c r="BA11" t="s">
        <v>59</v>
      </c>
      <c r="BB11">
        <v>120.268053434433</v>
      </c>
      <c r="BC11" t="s">
        <v>175</v>
      </c>
    </row>
    <row r="12" spans="1:55" x14ac:dyDescent="0.3">
      <c r="A12" t="s">
        <v>63</v>
      </c>
      <c r="B12">
        <v>10</v>
      </c>
      <c r="C12">
        <v>10</v>
      </c>
      <c r="D12">
        <v>0</v>
      </c>
      <c r="E12">
        <v>1.0185185185185099</v>
      </c>
      <c r="F12">
        <v>2.57348599999386</v>
      </c>
      <c r="R12">
        <v>0</v>
      </c>
      <c r="S12">
        <v>10</v>
      </c>
      <c r="T12">
        <v>10</v>
      </c>
      <c r="U12">
        <v>6</v>
      </c>
      <c r="Z12">
        <v>14.0574761000025</v>
      </c>
      <c r="AB12">
        <v>14.050177400000299</v>
      </c>
      <c r="AC12">
        <v>14.0574761000025</v>
      </c>
      <c r="AD12">
        <v>14.0574761000025</v>
      </c>
      <c r="AE12">
        <v>16.631968800000301</v>
      </c>
      <c r="AF12">
        <v>1.0185185185185099</v>
      </c>
      <c r="AG12">
        <v>2.57348599999386</v>
      </c>
      <c r="AV12">
        <v>2</v>
      </c>
      <c r="AW12">
        <v>1</v>
      </c>
      <c r="AX12" t="s">
        <v>174</v>
      </c>
      <c r="AY12" t="s">
        <v>58</v>
      </c>
      <c r="BA12" t="s">
        <v>59</v>
      </c>
      <c r="BB12">
        <v>120.268053434433</v>
      </c>
      <c r="BC12" t="s">
        <v>175</v>
      </c>
    </row>
    <row r="13" spans="1:55" x14ac:dyDescent="0.3">
      <c r="A13" t="s">
        <v>73</v>
      </c>
      <c r="B13">
        <v>11</v>
      </c>
      <c r="C13">
        <v>11</v>
      </c>
      <c r="D13">
        <v>0</v>
      </c>
      <c r="E13">
        <v>1.0185185185185099</v>
      </c>
      <c r="F13">
        <v>0.70504969999456002</v>
      </c>
      <c r="R13">
        <v>0</v>
      </c>
      <c r="S13">
        <v>11</v>
      </c>
      <c r="T13">
        <v>11</v>
      </c>
      <c r="U13">
        <v>13</v>
      </c>
      <c r="Z13">
        <v>16.6428707000013</v>
      </c>
      <c r="AB13">
        <v>16.635585000003601</v>
      </c>
      <c r="AC13">
        <v>16.6428707000013</v>
      </c>
      <c r="AD13">
        <v>16.6428707000013</v>
      </c>
      <c r="AE13">
        <v>17.3479979000039</v>
      </c>
      <c r="AF13">
        <v>1.0185185185185099</v>
      </c>
      <c r="AG13">
        <v>0.70504969999456002</v>
      </c>
      <c r="AV13">
        <v>2</v>
      </c>
      <c r="AW13">
        <v>1</v>
      </c>
      <c r="AX13" t="s">
        <v>174</v>
      </c>
      <c r="AY13" t="s">
        <v>58</v>
      </c>
      <c r="BA13" t="s">
        <v>59</v>
      </c>
      <c r="BB13">
        <v>120.268053434433</v>
      </c>
      <c r="BC13" t="s">
        <v>175</v>
      </c>
    </row>
    <row r="14" spans="1:55" x14ac:dyDescent="0.3">
      <c r="A14" t="s">
        <v>65</v>
      </c>
      <c r="B14">
        <v>12</v>
      </c>
      <c r="C14">
        <v>12</v>
      </c>
      <c r="D14">
        <v>0</v>
      </c>
      <c r="E14">
        <v>1.0185185185185099</v>
      </c>
      <c r="F14">
        <v>1.2624290000021501</v>
      </c>
      <c r="R14">
        <v>0</v>
      </c>
      <c r="S14">
        <v>12</v>
      </c>
      <c r="T14">
        <v>12</v>
      </c>
      <c r="U14">
        <v>11</v>
      </c>
      <c r="Z14">
        <v>17.355484400002702</v>
      </c>
      <c r="AB14">
        <v>17.3502674999981</v>
      </c>
      <c r="AC14">
        <v>17.355484400002702</v>
      </c>
      <c r="AD14">
        <v>17.355484400002702</v>
      </c>
      <c r="AE14">
        <v>18.621464800002201</v>
      </c>
      <c r="AF14">
        <v>1.0185185185185099</v>
      </c>
      <c r="AG14">
        <v>1.2624290000021501</v>
      </c>
      <c r="AV14">
        <v>2</v>
      </c>
      <c r="AW14">
        <v>1</v>
      </c>
      <c r="AX14" t="s">
        <v>174</v>
      </c>
      <c r="AY14" t="s">
        <v>58</v>
      </c>
      <c r="BA14" t="s">
        <v>59</v>
      </c>
      <c r="BB14">
        <v>120.268053434433</v>
      </c>
      <c r="BC14" t="s">
        <v>175</v>
      </c>
    </row>
    <row r="15" spans="1:55" x14ac:dyDescent="0.3">
      <c r="A15" t="s">
        <v>66</v>
      </c>
      <c r="B15">
        <v>13</v>
      </c>
      <c r="C15">
        <v>13</v>
      </c>
      <c r="D15">
        <v>0</v>
      </c>
      <c r="E15">
        <v>1.0185185185185099</v>
      </c>
      <c r="F15">
        <v>0.72876070000347604</v>
      </c>
      <c r="R15">
        <v>0</v>
      </c>
      <c r="S15">
        <v>13</v>
      </c>
      <c r="T15">
        <v>13</v>
      </c>
      <c r="U15">
        <v>7</v>
      </c>
      <c r="Z15">
        <v>18.634260099999601</v>
      </c>
      <c r="AB15">
        <v>18.626488800000502</v>
      </c>
      <c r="AC15">
        <v>18.634260099999601</v>
      </c>
      <c r="AD15">
        <v>18.634260099999601</v>
      </c>
      <c r="AE15">
        <v>19.3610862999994</v>
      </c>
      <c r="AF15">
        <v>1.0185185185185099</v>
      </c>
      <c r="AG15">
        <v>0.72876070000347604</v>
      </c>
      <c r="AV15">
        <v>2</v>
      </c>
      <c r="AW15">
        <v>1</v>
      </c>
      <c r="AX15" t="s">
        <v>174</v>
      </c>
      <c r="AY15" t="s">
        <v>58</v>
      </c>
      <c r="BA15" t="s">
        <v>59</v>
      </c>
      <c r="BB15">
        <v>120.268053434433</v>
      </c>
      <c r="BC15" t="s">
        <v>175</v>
      </c>
    </row>
    <row r="16" spans="1:55" x14ac:dyDescent="0.3">
      <c r="A16" t="s">
        <v>74</v>
      </c>
      <c r="B16">
        <v>14</v>
      </c>
      <c r="C16">
        <v>14</v>
      </c>
      <c r="D16">
        <v>0</v>
      </c>
      <c r="E16">
        <v>1.0185185185185099</v>
      </c>
      <c r="F16">
        <v>0.61413280000124304</v>
      </c>
      <c r="R16">
        <v>0</v>
      </c>
      <c r="S16">
        <v>14</v>
      </c>
      <c r="T16">
        <v>14</v>
      </c>
      <c r="U16">
        <v>0</v>
      </c>
      <c r="Z16">
        <v>19.368732100003399</v>
      </c>
      <c r="AB16">
        <v>19.363295199997001</v>
      </c>
      <c r="AC16">
        <v>19.368732100003399</v>
      </c>
      <c r="AD16">
        <v>19.368732100003399</v>
      </c>
      <c r="AE16">
        <v>19.984708199997801</v>
      </c>
      <c r="AF16">
        <v>1.0185185185185099</v>
      </c>
      <c r="AG16">
        <v>0.61413280000124304</v>
      </c>
      <c r="AV16">
        <v>2</v>
      </c>
      <c r="AW16">
        <v>1</v>
      </c>
      <c r="AX16" t="s">
        <v>174</v>
      </c>
      <c r="AY16" t="s">
        <v>58</v>
      </c>
      <c r="BA16" t="s">
        <v>59</v>
      </c>
      <c r="BB16">
        <v>120.268053434433</v>
      </c>
      <c r="BC16" t="s">
        <v>175</v>
      </c>
    </row>
    <row r="17" spans="2:55" x14ac:dyDescent="0.3">
      <c r="B17">
        <v>0</v>
      </c>
      <c r="C17">
        <v>0</v>
      </c>
      <c r="D17">
        <v>0</v>
      </c>
      <c r="G17" t="s">
        <v>75</v>
      </c>
      <c r="H17" t="s">
        <v>72</v>
      </c>
      <c r="I17" t="s">
        <v>76</v>
      </c>
      <c r="J17" t="s">
        <v>72</v>
      </c>
      <c r="K17" t="s">
        <v>176</v>
      </c>
      <c r="L17" t="s">
        <v>177</v>
      </c>
      <c r="M17" t="s">
        <v>178</v>
      </c>
      <c r="N17" t="s">
        <v>179</v>
      </c>
      <c r="O17" t="s">
        <v>179</v>
      </c>
      <c r="P17" t="s">
        <v>180</v>
      </c>
      <c r="Q17" t="s">
        <v>181</v>
      </c>
      <c r="V17">
        <v>0</v>
      </c>
      <c r="W17">
        <v>0</v>
      </c>
      <c r="X17">
        <v>0</v>
      </c>
      <c r="Y17">
        <v>10</v>
      </c>
      <c r="Z17">
        <v>20.003529800000202</v>
      </c>
      <c r="AH17">
        <v>19.994836199999501</v>
      </c>
      <c r="AI17">
        <v>20.003529800000202</v>
      </c>
      <c r="AJ17">
        <v>20.003529800000202</v>
      </c>
      <c r="AK17">
        <v>20.003529800000202</v>
      </c>
      <c r="AL17">
        <v>1.0125400003744201E-2</v>
      </c>
      <c r="AM17">
        <v>24.827945500001</v>
      </c>
      <c r="AN17" t="s">
        <v>72</v>
      </c>
      <c r="AO17" t="s">
        <v>176</v>
      </c>
      <c r="AP17" t="s">
        <v>177</v>
      </c>
      <c r="AQ17" t="s">
        <v>178</v>
      </c>
      <c r="AR17" t="s">
        <v>179</v>
      </c>
      <c r="AS17" t="s">
        <v>179</v>
      </c>
      <c r="AT17" t="s">
        <v>180</v>
      </c>
      <c r="AU17" t="s">
        <v>181</v>
      </c>
      <c r="AV17">
        <v>2</v>
      </c>
      <c r="AW17">
        <v>1</v>
      </c>
      <c r="AX17" t="s">
        <v>174</v>
      </c>
      <c r="AY17" t="s">
        <v>58</v>
      </c>
      <c r="BA17" t="s">
        <v>59</v>
      </c>
      <c r="BB17">
        <v>120.268053434433</v>
      </c>
      <c r="BC17" t="s">
        <v>175</v>
      </c>
    </row>
    <row r="18" spans="2:55" x14ac:dyDescent="0.3">
      <c r="B18">
        <v>1</v>
      </c>
      <c r="C18">
        <v>1</v>
      </c>
      <c r="D18">
        <v>0</v>
      </c>
      <c r="G18" t="s">
        <v>107</v>
      </c>
      <c r="H18" t="s">
        <v>108</v>
      </c>
      <c r="I18" t="s">
        <v>85</v>
      </c>
      <c r="J18" t="s">
        <v>108</v>
      </c>
      <c r="K18" t="s">
        <v>182</v>
      </c>
      <c r="L18" t="s">
        <v>183</v>
      </c>
      <c r="M18" t="s">
        <v>88</v>
      </c>
      <c r="N18" t="s">
        <v>89</v>
      </c>
      <c r="O18" t="s">
        <v>89</v>
      </c>
      <c r="P18" t="s">
        <v>184</v>
      </c>
      <c r="Q18" t="s">
        <v>91</v>
      </c>
      <c r="V18">
        <v>0</v>
      </c>
      <c r="W18">
        <v>1</v>
      </c>
      <c r="X18">
        <v>1</v>
      </c>
      <c r="Y18">
        <v>18</v>
      </c>
      <c r="Z18">
        <v>24.840027600002902</v>
      </c>
      <c r="AH18">
        <v>24.831723000002899</v>
      </c>
      <c r="AI18">
        <v>24.840027600002902</v>
      </c>
      <c r="AJ18">
        <v>24.840027600002902</v>
      </c>
      <c r="AK18">
        <v>24.840027600002902</v>
      </c>
      <c r="AL18">
        <v>3.53889999678358E-3</v>
      </c>
      <c r="AM18">
        <v>28.154760400000601</v>
      </c>
      <c r="AN18" t="s">
        <v>108</v>
      </c>
      <c r="AO18" t="s">
        <v>182</v>
      </c>
      <c r="AP18" t="s">
        <v>183</v>
      </c>
      <c r="AQ18" t="s">
        <v>88</v>
      </c>
      <c r="AR18" t="s">
        <v>89</v>
      </c>
      <c r="AS18" t="s">
        <v>89</v>
      </c>
      <c r="AT18" t="s">
        <v>184</v>
      </c>
      <c r="AU18" t="s">
        <v>91</v>
      </c>
      <c r="AV18">
        <v>2</v>
      </c>
      <c r="AW18">
        <v>1</v>
      </c>
      <c r="AX18" t="s">
        <v>174</v>
      </c>
      <c r="AY18" t="s">
        <v>58</v>
      </c>
      <c r="BA18" t="s">
        <v>59</v>
      </c>
      <c r="BB18">
        <v>120.268053434433</v>
      </c>
      <c r="BC18" t="s">
        <v>175</v>
      </c>
    </row>
    <row r="19" spans="2:55" x14ac:dyDescent="0.3">
      <c r="B19">
        <v>2</v>
      </c>
      <c r="C19">
        <v>2</v>
      </c>
      <c r="D19">
        <v>0</v>
      </c>
      <c r="G19" t="s">
        <v>117</v>
      </c>
      <c r="H19" t="s">
        <v>74</v>
      </c>
      <c r="I19" t="s">
        <v>76</v>
      </c>
      <c r="J19" t="s">
        <v>74</v>
      </c>
      <c r="K19" t="s">
        <v>185</v>
      </c>
      <c r="L19" t="s">
        <v>186</v>
      </c>
      <c r="M19" t="s">
        <v>88</v>
      </c>
      <c r="N19" t="s">
        <v>89</v>
      </c>
      <c r="O19" t="s">
        <v>89</v>
      </c>
      <c r="P19" t="s">
        <v>187</v>
      </c>
      <c r="Q19" t="s">
        <v>91</v>
      </c>
      <c r="V19">
        <v>0</v>
      </c>
      <c r="W19">
        <v>2</v>
      </c>
      <c r="X19">
        <v>2</v>
      </c>
      <c r="Y19">
        <v>13</v>
      </c>
      <c r="Z19">
        <v>28.164451600001399</v>
      </c>
      <c r="AH19">
        <v>28.157833899997001</v>
      </c>
      <c r="AI19">
        <v>28.164451600001399</v>
      </c>
      <c r="AJ19">
        <v>28.164451600001399</v>
      </c>
      <c r="AK19">
        <v>28.164451600001399</v>
      </c>
      <c r="AL19">
        <v>2.9324000061023898E-3</v>
      </c>
      <c r="AM19">
        <v>31.2503871000008</v>
      </c>
      <c r="AN19" t="s">
        <v>74</v>
      </c>
      <c r="AO19" t="s">
        <v>185</v>
      </c>
      <c r="AP19" t="s">
        <v>186</v>
      </c>
      <c r="AQ19" t="s">
        <v>88</v>
      </c>
      <c r="AR19" t="s">
        <v>89</v>
      </c>
      <c r="AS19" t="s">
        <v>89</v>
      </c>
      <c r="AT19" t="s">
        <v>187</v>
      </c>
      <c r="AU19" t="s">
        <v>91</v>
      </c>
      <c r="AV19">
        <v>2</v>
      </c>
      <c r="AW19">
        <v>1</v>
      </c>
      <c r="AX19" t="s">
        <v>174</v>
      </c>
      <c r="AY19" t="s">
        <v>58</v>
      </c>
      <c r="BA19" t="s">
        <v>59</v>
      </c>
      <c r="BB19">
        <v>120.268053434433</v>
      </c>
      <c r="BC19" t="s">
        <v>175</v>
      </c>
    </row>
    <row r="20" spans="2:55" x14ac:dyDescent="0.3">
      <c r="B20">
        <v>3</v>
      </c>
      <c r="C20">
        <v>3</v>
      </c>
      <c r="D20">
        <v>0</v>
      </c>
      <c r="G20" t="s">
        <v>101</v>
      </c>
      <c r="H20" t="s">
        <v>69</v>
      </c>
      <c r="I20" t="s">
        <v>76</v>
      </c>
      <c r="J20" t="s">
        <v>69</v>
      </c>
      <c r="K20" t="s">
        <v>188</v>
      </c>
      <c r="L20" t="s">
        <v>189</v>
      </c>
      <c r="M20" t="s">
        <v>88</v>
      </c>
      <c r="N20" t="s">
        <v>89</v>
      </c>
      <c r="O20" t="s">
        <v>89</v>
      </c>
      <c r="P20" t="s">
        <v>190</v>
      </c>
      <c r="Q20" t="s">
        <v>91</v>
      </c>
      <c r="V20">
        <v>0</v>
      </c>
      <c r="W20">
        <v>3</v>
      </c>
      <c r="X20">
        <v>3</v>
      </c>
      <c r="Y20">
        <v>9</v>
      </c>
      <c r="Z20">
        <v>31.262063499998401</v>
      </c>
      <c r="AH20">
        <v>31.253849300002901</v>
      </c>
      <c r="AI20">
        <v>31.262063499998401</v>
      </c>
      <c r="AJ20">
        <v>31.262063499998401</v>
      </c>
      <c r="AK20">
        <v>31.262063499998401</v>
      </c>
      <c r="AL20">
        <v>3.3014000000548501E-3</v>
      </c>
      <c r="AM20">
        <v>36.275324200003503</v>
      </c>
      <c r="AN20" t="s">
        <v>69</v>
      </c>
      <c r="AO20" t="s">
        <v>188</v>
      </c>
      <c r="AP20" t="s">
        <v>189</v>
      </c>
      <c r="AQ20" t="s">
        <v>88</v>
      </c>
      <c r="AR20" t="s">
        <v>89</v>
      </c>
      <c r="AS20" t="s">
        <v>89</v>
      </c>
      <c r="AT20" t="s">
        <v>190</v>
      </c>
      <c r="AU20" t="s">
        <v>91</v>
      </c>
      <c r="AV20">
        <v>2</v>
      </c>
      <c r="AW20">
        <v>1</v>
      </c>
      <c r="AX20" t="s">
        <v>174</v>
      </c>
      <c r="AY20" t="s">
        <v>58</v>
      </c>
      <c r="BA20" t="s">
        <v>59</v>
      </c>
      <c r="BB20">
        <v>120.268053434433</v>
      </c>
      <c r="BC20" t="s">
        <v>175</v>
      </c>
    </row>
    <row r="21" spans="2:55" x14ac:dyDescent="0.3">
      <c r="B21">
        <v>4</v>
      </c>
      <c r="C21">
        <v>4</v>
      </c>
      <c r="D21">
        <v>0</v>
      </c>
      <c r="G21" t="s">
        <v>92</v>
      </c>
      <c r="H21" t="s">
        <v>65</v>
      </c>
      <c r="I21" t="s">
        <v>76</v>
      </c>
      <c r="J21" t="s">
        <v>65</v>
      </c>
      <c r="K21" t="s">
        <v>188</v>
      </c>
      <c r="L21" t="s">
        <v>189</v>
      </c>
      <c r="M21" t="s">
        <v>88</v>
      </c>
      <c r="N21" t="s">
        <v>89</v>
      </c>
      <c r="O21" t="s">
        <v>89</v>
      </c>
      <c r="P21" t="s">
        <v>191</v>
      </c>
      <c r="Q21" t="s">
        <v>91</v>
      </c>
      <c r="V21">
        <v>0</v>
      </c>
      <c r="W21">
        <v>4</v>
      </c>
      <c r="X21">
        <v>4</v>
      </c>
      <c r="Y21">
        <v>6</v>
      </c>
      <c r="Z21">
        <v>36.2891907000012</v>
      </c>
      <c r="AH21">
        <v>36.279866199998601</v>
      </c>
      <c r="AI21">
        <v>36.2891907000012</v>
      </c>
      <c r="AJ21">
        <v>36.2891907000012</v>
      </c>
      <c r="AK21">
        <v>36.2891907000012</v>
      </c>
      <c r="AL21">
        <v>4.3105999939143597E-3</v>
      </c>
      <c r="AM21">
        <v>38.352479200002499</v>
      </c>
      <c r="AN21" t="s">
        <v>65</v>
      </c>
      <c r="AO21" t="s">
        <v>188</v>
      </c>
      <c r="AP21" t="s">
        <v>189</v>
      </c>
      <c r="AQ21" t="s">
        <v>88</v>
      </c>
      <c r="AR21" t="s">
        <v>89</v>
      </c>
      <c r="AS21" t="s">
        <v>89</v>
      </c>
      <c r="AT21" t="s">
        <v>191</v>
      </c>
      <c r="AU21" t="s">
        <v>91</v>
      </c>
      <c r="AV21">
        <v>2</v>
      </c>
      <c r="AW21">
        <v>1</v>
      </c>
      <c r="AX21" t="s">
        <v>174</v>
      </c>
      <c r="AY21" t="s">
        <v>58</v>
      </c>
      <c r="BA21" t="s">
        <v>59</v>
      </c>
      <c r="BB21">
        <v>120.268053434433</v>
      </c>
      <c r="BC21" t="s">
        <v>175</v>
      </c>
    </row>
    <row r="22" spans="2:55" x14ac:dyDescent="0.3">
      <c r="B22">
        <v>5</v>
      </c>
      <c r="C22">
        <v>5</v>
      </c>
      <c r="D22">
        <v>0</v>
      </c>
      <c r="G22" t="s">
        <v>110</v>
      </c>
      <c r="H22" t="s">
        <v>68</v>
      </c>
      <c r="I22" t="s">
        <v>76</v>
      </c>
      <c r="J22" t="s">
        <v>68</v>
      </c>
      <c r="K22" t="s">
        <v>188</v>
      </c>
      <c r="L22" t="s">
        <v>189</v>
      </c>
      <c r="M22" t="s">
        <v>88</v>
      </c>
      <c r="N22" t="s">
        <v>89</v>
      </c>
      <c r="O22" t="s">
        <v>89</v>
      </c>
      <c r="P22" t="s">
        <v>192</v>
      </c>
      <c r="Q22" t="s">
        <v>91</v>
      </c>
      <c r="V22">
        <v>0</v>
      </c>
      <c r="W22">
        <v>5</v>
      </c>
      <c r="X22">
        <v>5</v>
      </c>
      <c r="Y22">
        <v>5</v>
      </c>
      <c r="Z22">
        <v>38.365297199998103</v>
      </c>
      <c r="AH22">
        <v>38.356506399999397</v>
      </c>
      <c r="AI22">
        <v>38.365297199998103</v>
      </c>
      <c r="AJ22">
        <v>38.365297199998103</v>
      </c>
      <c r="AK22">
        <v>38.365297199998103</v>
      </c>
      <c r="AL22">
        <v>3.8246999974944598E-3</v>
      </c>
      <c r="AM22">
        <v>40.141011699997698</v>
      </c>
      <c r="AN22" t="s">
        <v>68</v>
      </c>
      <c r="AO22" t="s">
        <v>188</v>
      </c>
      <c r="AP22" t="s">
        <v>189</v>
      </c>
      <c r="AQ22" t="s">
        <v>88</v>
      </c>
      <c r="AR22" t="s">
        <v>89</v>
      </c>
      <c r="AS22" t="s">
        <v>89</v>
      </c>
      <c r="AT22" t="s">
        <v>192</v>
      </c>
      <c r="AU22" t="s">
        <v>91</v>
      </c>
      <c r="AV22">
        <v>2</v>
      </c>
      <c r="AW22">
        <v>1</v>
      </c>
      <c r="AX22" t="s">
        <v>174</v>
      </c>
      <c r="AY22" t="s">
        <v>58</v>
      </c>
      <c r="BA22" t="s">
        <v>59</v>
      </c>
      <c r="BB22">
        <v>120.268053434433</v>
      </c>
      <c r="BC22" t="s">
        <v>175</v>
      </c>
    </row>
    <row r="23" spans="2:55" x14ac:dyDescent="0.3">
      <c r="B23">
        <v>6</v>
      </c>
      <c r="C23">
        <v>6</v>
      </c>
      <c r="D23">
        <v>0</v>
      </c>
      <c r="G23" t="s">
        <v>94</v>
      </c>
      <c r="H23" t="s">
        <v>95</v>
      </c>
      <c r="I23" t="s">
        <v>85</v>
      </c>
      <c r="J23" t="s">
        <v>95</v>
      </c>
      <c r="K23" t="s">
        <v>188</v>
      </c>
      <c r="L23" t="s">
        <v>189</v>
      </c>
      <c r="M23" t="s">
        <v>88</v>
      </c>
      <c r="N23" t="s">
        <v>89</v>
      </c>
      <c r="O23" t="s">
        <v>89</v>
      </c>
      <c r="P23" t="s">
        <v>193</v>
      </c>
      <c r="Q23" t="s">
        <v>91</v>
      </c>
      <c r="V23">
        <v>0</v>
      </c>
      <c r="W23">
        <v>6</v>
      </c>
      <c r="X23">
        <v>6</v>
      </c>
      <c r="Y23">
        <v>17</v>
      </c>
      <c r="Z23">
        <v>40.155761599999003</v>
      </c>
      <c r="AH23">
        <v>40.147104000003303</v>
      </c>
      <c r="AI23">
        <v>40.155761599999003</v>
      </c>
      <c r="AJ23">
        <v>40.155761599999003</v>
      </c>
      <c r="AK23">
        <v>40.155761599999003</v>
      </c>
      <c r="AL23">
        <v>5.9406000000308198E-3</v>
      </c>
      <c r="AM23">
        <v>45.291880600001598</v>
      </c>
      <c r="AN23" t="s">
        <v>95</v>
      </c>
      <c r="AO23" t="s">
        <v>188</v>
      </c>
      <c r="AP23" t="s">
        <v>189</v>
      </c>
      <c r="AQ23" t="s">
        <v>88</v>
      </c>
      <c r="AR23" t="s">
        <v>89</v>
      </c>
      <c r="AS23" t="s">
        <v>89</v>
      </c>
      <c r="AT23" t="s">
        <v>193</v>
      </c>
      <c r="AU23" t="s">
        <v>91</v>
      </c>
      <c r="AV23">
        <v>2</v>
      </c>
      <c r="AW23">
        <v>1</v>
      </c>
      <c r="AX23" t="s">
        <v>174</v>
      </c>
      <c r="AY23" t="s">
        <v>58</v>
      </c>
      <c r="BA23" t="s">
        <v>59</v>
      </c>
      <c r="BB23">
        <v>120.268053434433</v>
      </c>
      <c r="BC23" t="s">
        <v>175</v>
      </c>
    </row>
    <row r="24" spans="2:55" x14ac:dyDescent="0.3">
      <c r="B24">
        <v>7</v>
      </c>
      <c r="C24">
        <v>7</v>
      </c>
      <c r="D24">
        <v>0</v>
      </c>
      <c r="G24" t="s">
        <v>124</v>
      </c>
      <c r="H24" t="s">
        <v>62</v>
      </c>
      <c r="I24" t="s">
        <v>76</v>
      </c>
      <c r="J24" t="s">
        <v>62</v>
      </c>
      <c r="K24" t="s">
        <v>188</v>
      </c>
      <c r="L24" t="s">
        <v>189</v>
      </c>
      <c r="M24" t="s">
        <v>88</v>
      </c>
      <c r="N24" t="s">
        <v>89</v>
      </c>
      <c r="O24" t="s">
        <v>89</v>
      </c>
      <c r="P24" t="s">
        <v>194</v>
      </c>
      <c r="Q24" t="s">
        <v>91</v>
      </c>
      <c r="V24">
        <v>0</v>
      </c>
      <c r="W24">
        <v>7</v>
      </c>
      <c r="X24">
        <v>7</v>
      </c>
      <c r="Y24">
        <v>12</v>
      </c>
      <c r="Z24">
        <v>45.307824700001198</v>
      </c>
      <c r="AH24">
        <v>45.297308499997598</v>
      </c>
      <c r="AI24">
        <v>45.307824700001198</v>
      </c>
      <c r="AJ24">
        <v>45.307824700001198</v>
      </c>
      <c r="AK24">
        <v>45.307824700001198</v>
      </c>
      <c r="AL24">
        <v>5.2084999988437604E-3</v>
      </c>
      <c r="AM24">
        <v>50.082394099997998</v>
      </c>
      <c r="AN24" t="s">
        <v>62</v>
      </c>
      <c r="AO24" t="s">
        <v>188</v>
      </c>
      <c r="AP24" t="s">
        <v>189</v>
      </c>
      <c r="AQ24" t="s">
        <v>88</v>
      </c>
      <c r="AR24" t="s">
        <v>89</v>
      </c>
      <c r="AS24" t="s">
        <v>89</v>
      </c>
      <c r="AT24" t="s">
        <v>194</v>
      </c>
      <c r="AU24" t="s">
        <v>91</v>
      </c>
      <c r="AV24">
        <v>2</v>
      </c>
      <c r="AW24">
        <v>1</v>
      </c>
      <c r="AX24" t="s">
        <v>174</v>
      </c>
      <c r="AY24" t="s">
        <v>58</v>
      </c>
      <c r="BA24" t="s">
        <v>59</v>
      </c>
      <c r="BB24">
        <v>120.268053434433</v>
      </c>
      <c r="BC24" t="s">
        <v>175</v>
      </c>
    </row>
    <row r="25" spans="2:55" x14ac:dyDescent="0.3">
      <c r="B25">
        <v>8</v>
      </c>
      <c r="C25">
        <v>8</v>
      </c>
      <c r="D25">
        <v>0</v>
      </c>
      <c r="G25" t="s">
        <v>130</v>
      </c>
      <c r="H25" t="s">
        <v>131</v>
      </c>
      <c r="I25" t="s">
        <v>85</v>
      </c>
      <c r="J25" t="s">
        <v>131</v>
      </c>
      <c r="K25" t="s">
        <v>188</v>
      </c>
      <c r="L25" t="s">
        <v>189</v>
      </c>
      <c r="M25" t="s">
        <v>88</v>
      </c>
      <c r="N25" t="s">
        <v>89</v>
      </c>
      <c r="O25" t="s">
        <v>89</v>
      </c>
      <c r="P25" t="s">
        <v>195</v>
      </c>
      <c r="Q25" t="s">
        <v>91</v>
      </c>
      <c r="V25">
        <v>0</v>
      </c>
      <c r="W25">
        <v>8</v>
      </c>
      <c r="X25">
        <v>8</v>
      </c>
      <c r="Y25">
        <v>16</v>
      </c>
      <c r="Z25">
        <v>50.095285600000302</v>
      </c>
      <c r="AH25">
        <v>50.0869152000013</v>
      </c>
      <c r="AI25">
        <v>50.095285600000302</v>
      </c>
      <c r="AJ25">
        <v>50.095285600000302</v>
      </c>
      <c r="AK25">
        <v>50.095285600000302</v>
      </c>
      <c r="AL25">
        <v>4.2965000029653302E-3</v>
      </c>
      <c r="AM25">
        <v>54.836932999998602</v>
      </c>
      <c r="AN25" t="s">
        <v>131</v>
      </c>
      <c r="AO25" t="s">
        <v>188</v>
      </c>
      <c r="AP25" t="s">
        <v>189</v>
      </c>
      <c r="AQ25" t="s">
        <v>88</v>
      </c>
      <c r="AR25" t="s">
        <v>89</v>
      </c>
      <c r="AS25" t="s">
        <v>89</v>
      </c>
      <c r="AT25" t="s">
        <v>195</v>
      </c>
      <c r="AU25" t="s">
        <v>91</v>
      </c>
      <c r="AV25">
        <v>2</v>
      </c>
      <c r="AW25">
        <v>1</v>
      </c>
      <c r="AX25" t="s">
        <v>174</v>
      </c>
      <c r="AY25" t="s">
        <v>58</v>
      </c>
      <c r="BA25" t="s">
        <v>59</v>
      </c>
      <c r="BB25">
        <v>120.268053434433</v>
      </c>
      <c r="BC25" t="s">
        <v>175</v>
      </c>
    </row>
    <row r="26" spans="2:55" x14ac:dyDescent="0.3">
      <c r="B26">
        <v>9</v>
      </c>
      <c r="C26">
        <v>9</v>
      </c>
      <c r="D26">
        <v>0</v>
      </c>
      <c r="G26" t="s">
        <v>135</v>
      </c>
      <c r="H26" t="s">
        <v>67</v>
      </c>
      <c r="I26" t="s">
        <v>76</v>
      </c>
      <c r="J26" t="s">
        <v>67</v>
      </c>
      <c r="K26" t="s">
        <v>188</v>
      </c>
      <c r="L26" t="s">
        <v>189</v>
      </c>
      <c r="M26" t="s">
        <v>88</v>
      </c>
      <c r="N26" t="s">
        <v>89</v>
      </c>
      <c r="O26" t="s">
        <v>89</v>
      </c>
      <c r="P26" t="s">
        <v>196</v>
      </c>
      <c r="Q26" t="s">
        <v>91</v>
      </c>
      <c r="V26">
        <v>0</v>
      </c>
      <c r="W26">
        <v>9</v>
      </c>
      <c r="X26">
        <v>9</v>
      </c>
      <c r="Y26">
        <v>11</v>
      </c>
      <c r="Z26">
        <v>54.848864500003401</v>
      </c>
      <c r="AH26">
        <v>54.840564799996997</v>
      </c>
      <c r="AI26">
        <v>54.848864500003401</v>
      </c>
      <c r="AJ26">
        <v>54.848864500003401</v>
      </c>
      <c r="AK26">
        <v>54.848864500003401</v>
      </c>
      <c r="AL26">
        <v>3.5047999990638302E-3</v>
      </c>
      <c r="AM26">
        <v>57.556622500000202</v>
      </c>
      <c r="AN26" t="s">
        <v>67</v>
      </c>
      <c r="AO26" t="s">
        <v>188</v>
      </c>
      <c r="AP26" t="s">
        <v>189</v>
      </c>
      <c r="AQ26" t="s">
        <v>88</v>
      </c>
      <c r="AR26" t="s">
        <v>89</v>
      </c>
      <c r="AS26" t="s">
        <v>89</v>
      </c>
      <c r="AT26" t="s">
        <v>196</v>
      </c>
      <c r="AU26" t="s">
        <v>91</v>
      </c>
      <c r="AV26">
        <v>2</v>
      </c>
      <c r="AW26">
        <v>1</v>
      </c>
      <c r="AX26" t="s">
        <v>174</v>
      </c>
      <c r="AY26" t="s">
        <v>58</v>
      </c>
      <c r="BA26" t="s">
        <v>59</v>
      </c>
      <c r="BB26">
        <v>120.268053434433</v>
      </c>
      <c r="BC26" t="s">
        <v>175</v>
      </c>
    </row>
    <row r="27" spans="2:55" x14ac:dyDescent="0.3">
      <c r="B27">
        <v>10</v>
      </c>
      <c r="C27">
        <v>10</v>
      </c>
      <c r="D27">
        <v>0</v>
      </c>
      <c r="G27" t="s">
        <v>122</v>
      </c>
      <c r="H27" t="s">
        <v>64</v>
      </c>
      <c r="I27" t="s">
        <v>76</v>
      </c>
      <c r="J27" t="s">
        <v>64</v>
      </c>
      <c r="K27" t="s">
        <v>188</v>
      </c>
      <c r="L27" t="s">
        <v>189</v>
      </c>
      <c r="M27" t="s">
        <v>88</v>
      </c>
      <c r="N27" t="s">
        <v>89</v>
      </c>
      <c r="O27" t="s">
        <v>89</v>
      </c>
      <c r="P27" t="s">
        <v>197</v>
      </c>
      <c r="Q27" t="s">
        <v>91</v>
      </c>
      <c r="V27">
        <v>0</v>
      </c>
      <c r="W27">
        <v>10</v>
      </c>
      <c r="X27">
        <v>10</v>
      </c>
      <c r="Y27">
        <v>0</v>
      </c>
      <c r="Z27">
        <v>57.569068299999302</v>
      </c>
      <c r="AH27">
        <v>57.5607318999973</v>
      </c>
      <c r="AI27">
        <v>57.569068299999302</v>
      </c>
      <c r="AJ27">
        <v>57.569068299999302</v>
      </c>
      <c r="AK27">
        <v>57.569068299999302</v>
      </c>
      <c r="AL27">
        <v>3.9854999995441098E-3</v>
      </c>
      <c r="AM27">
        <v>59.465370700003398</v>
      </c>
      <c r="AN27" t="s">
        <v>64</v>
      </c>
      <c r="AO27" t="s">
        <v>188</v>
      </c>
      <c r="AP27" t="s">
        <v>189</v>
      </c>
      <c r="AQ27" t="s">
        <v>88</v>
      </c>
      <c r="AR27" t="s">
        <v>89</v>
      </c>
      <c r="AS27" t="s">
        <v>89</v>
      </c>
      <c r="AT27" t="s">
        <v>197</v>
      </c>
      <c r="AU27" t="s">
        <v>91</v>
      </c>
      <c r="AV27">
        <v>2</v>
      </c>
      <c r="AW27">
        <v>1</v>
      </c>
      <c r="AX27" t="s">
        <v>174</v>
      </c>
      <c r="AY27" t="s">
        <v>58</v>
      </c>
      <c r="BA27" t="s">
        <v>59</v>
      </c>
      <c r="BB27">
        <v>120.268053434433</v>
      </c>
      <c r="BC27" t="s">
        <v>175</v>
      </c>
    </row>
    <row r="28" spans="2:55" x14ac:dyDescent="0.3">
      <c r="B28">
        <v>11</v>
      </c>
      <c r="C28">
        <v>11</v>
      </c>
      <c r="D28">
        <v>0</v>
      </c>
      <c r="G28" t="s">
        <v>97</v>
      </c>
      <c r="H28" t="s">
        <v>70</v>
      </c>
      <c r="I28" t="s">
        <v>76</v>
      </c>
      <c r="J28" t="s">
        <v>70</v>
      </c>
      <c r="K28" t="s">
        <v>198</v>
      </c>
      <c r="L28" t="s">
        <v>149</v>
      </c>
      <c r="M28" t="s">
        <v>88</v>
      </c>
      <c r="N28" t="s">
        <v>89</v>
      </c>
      <c r="O28" t="s">
        <v>89</v>
      </c>
      <c r="P28" t="s">
        <v>199</v>
      </c>
      <c r="Q28" t="s">
        <v>91</v>
      </c>
      <c r="V28">
        <v>0</v>
      </c>
      <c r="W28">
        <v>11</v>
      </c>
      <c r="X28">
        <v>11</v>
      </c>
      <c r="Y28">
        <v>14</v>
      </c>
      <c r="Z28">
        <v>59.475549000002502</v>
      </c>
      <c r="AH28">
        <v>59.468346800000198</v>
      </c>
      <c r="AI28">
        <v>59.475549000002502</v>
      </c>
      <c r="AJ28">
        <v>59.475549000002502</v>
      </c>
      <c r="AK28">
        <v>59.475549000002502</v>
      </c>
      <c r="AL28">
        <v>2.8480000037234198E-3</v>
      </c>
      <c r="AM28">
        <v>65.272785100001698</v>
      </c>
      <c r="AN28" t="s">
        <v>70</v>
      </c>
      <c r="AO28" t="s">
        <v>198</v>
      </c>
      <c r="AP28" t="s">
        <v>149</v>
      </c>
      <c r="AQ28" t="s">
        <v>88</v>
      </c>
      <c r="AR28" t="s">
        <v>89</v>
      </c>
      <c r="AS28" t="s">
        <v>89</v>
      </c>
      <c r="AT28" t="s">
        <v>199</v>
      </c>
      <c r="AU28" t="s">
        <v>91</v>
      </c>
      <c r="AV28">
        <v>2</v>
      </c>
      <c r="AW28">
        <v>1</v>
      </c>
      <c r="AX28" t="s">
        <v>174</v>
      </c>
      <c r="AY28" t="s">
        <v>58</v>
      </c>
      <c r="BA28" t="s">
        <v>59</v>
      </c>
      <c r="BB28">
        <v>120.268053434433</v>
      </c>
      <c r="BC28" t="s">
        <v>175</v>
      </c>
    </row>
    <row r="29" spans="2:55" x14ac:dyDescent="0.3">
      <c r="B29">
        <v>12</v>
      </c>
      <c r="C29">
        <v>12</v>
      </c>
      <c r="D29">
        <v>0</v>
      </c>
      <c r="G29" t="s">
        <v>126</v>
      </c>
      <c r="H29" t="s">
        <v>73</v>
      </c>
      <c r="I29" t="s">
        <v>76</v>
      </c>
      <c r="J29" t="s">
        <v>73</v>
      </c>
      <c r="K29" t="s">
        <v>198</v>
      </c>
      <c r="L29" t="s">
        <v>149</v>
      </c>
      <c r="M29" t="s">
        <v>88</v>
      </c>
      <c r="N29" t="s">
        <v>89</v>
      </c>
      <c r="O29" t="s">
        <v>89</v>
      </c>
      <c r="P29" t="s">
        <v>200</v>
      </c>
      <c r="Q29" t="s">
        <v>91</v>
      </c>
      <c r="V29">
        <v>0</v>
      </c>
      <c r="W29">
        <v>12</v>
      </c>
      <c r="X29">
        <v>12</v>
      </c>
      <c r="Y29">
        <v>8</v>
      </c>
      <c r="Z29">
        <v>65.287990700002396</v>
      </c>
      <c r="AH29">
        <v>65.276665800003599</v>
      </c>
      <c r="AI29">
        <v>65.287990700002396</v>
      </c>
      <c r="AJ29">
        <v>65.287990700002396</v>
      </c>
      <c r="AK29">
        <v>65.287990700002396</v>
      </c>
      <c r="AL29">
        <v>3.7111999990884202E-3</v>
      </c>
      <c r="AM29">
        <v>66.927090500001199</v>
      </c>
      <c r="AN29" t="s">
        <v>73</v>
      </c>
      <c r="AO29" t="s">
        <v>198</v>
      </c>
      <c r="AP29" t="s">
        <v>149</v>
      </c>
      <c r="AQ29" t="s">
        <v>88</v>
      </c>
      <c r="AR29" t="s">
        <v>89</v>
      </c>
      <c r="AS29" t="s">
        <v>89</v>
      </c>
      <c r="AT29" t="s">
        <v>200</v>
      </c>
      <c r="AU29" t="s">
        <v>91</v>
      </c>
      <c r="AV29">
        <v>2</v>
      </c>
      <c r="AW29">
        <v>1</v>
      </c>
      <c r="AX29" t="s">
        <v>174</v>
      </c>
      <c r="AY29" t="s">
        <v>58</v>
      </c>
      <c r="BA29" t="s">
        <v>59</v>
      </c>
      <c r="BB29">
        <v>120.268053434433</v>
      </c>
      <c r="BC29" t="s">
        <v>175</v>
      </c>
    </row>
    <row r="30" spans="2:55" x14ac:dyDescent="0.3">
      <c r="B30">
        <v>13</v>
      </c>
      <c r="C30">
        <v>13</v>
      </c>
      <c r="D30">
        <v>0</v>
      </c>
      <c r="G30" t="s">
        <v>115</v>
      </c>
      <c r="H30" t="s">
        <v>61</v>
      </c>
      <c r="I30" t="s">
        <v>76</v>
      </c>
      <c r="J30" t="s">
        <v>61</v>
      </c>
      <c r="K30" t="s">
        <v>198</v>
      </c>
      <c r="L30" t="s">
        <v>149</v>
      </c>
      <c r="M30" t="s">
        <v>88</v>
      </c>
      <c r="N30" t="s">
        <v>89</v>
      </c>
      <c r="O30" t="s">
        <v>89</v>
      </c>
      <c r="P30" t="s">
        <v>201</v>
      </c>
      <c r="Q30" t="s">
        <v>91</v>
      </c>
      <c r="V30">
        <v>0</v>
      </c>
      <c r="W30">
        <v>13</v>
      </c>
      <c r="X30">
        <v>13</v>
      </c>
      <c r="Y30">
        <v>7</v>
      </c>
      <c r="Z30">
        <v>66.938637200000798</v>
      </c>
      <c r="AH30">
        <v>66.930489099999207</v>
      </c>
      <c r="AI30">
        <v>66.938637200000798</v>
      </c>
      <c r="AJ30">
        <v>66.938637200000798</v>
      </c>
      <c r="AK30">
        <v>66.938637200000798</v>
      </c>
      <c r="AL30">
        <v>3.2209999990300202E-3</v>
      </c>
      <c r="AM30">
        <v>69.0406388999981</v>
      </c>
      <c r="AN30" t="s">
        <v>61</v>
      </c>
      <c r="AO30" t="s">
        <v>198</v>
      </c>
      <c r="AP30" t="s">
        <v>149</v>
      </c>
      <c r="AQ30" t="s">
        <v>88</v>
      </c>
      <c r="AR30" t="s">
        <v>89</v>
      </c>
      <c r="AS30" t="s">
        <v>89</v>
      </c>
      <c r="AT30" t="s">
        <v>201</v>
      </c>
      <c r="AU30" t="s">
        <v>91</v>
      </c>
      <c r="AV30">
        <v>2</v>
      </c>
      <c r="AW30">
        <v>1</v>
      </c>
      <c r="AX30" t="s">
        <v>174</v>
      </c>
      <c r="AY30" t="s">
        <v>58</v>
      </c>
      <c r="BA30" t="s">
        <v>59</v>
      </c>
      <c r="BB30">
        <v>120.268053434433</v>
      </c>
      <c r="BC30" t="s">
        <v>175</v>
      </c>
    </row>
    <row r="31" spans="2:55" x14ac:dyDescent="0.3">
      <c r="B31">
        <v>14</v>
      </c>
      <c r="C31">
        <v>14</v>
      </c>
      <c r="D31">
        <v>0</v>
      </c>
      <c r="G31" t="s">
        <v>83</v>
      </c>
      <c r="H31" t="s">
        <v>84</v>
      </c>
      <c r="I31" t="s">
        <v>85</v>
      </c>
      <c r="J31" t="s">
        <v>84</v>
      </c>
      <c r="K31" t="s">
        <v>198</v>
      </c>
      <c r="L31" t="s">
        <v>149</v>
      </c>
      <c r="M31" t="s">
        <v>88</v>
      </c>
      <c r="N31" t="s">
        <v>89</v>
      </c>
      <c r="O31" t="s">
        <v>89</v>
      </c>
      <c r="P31" t="s">
        <v>202</v>
      </c>
      <c r="Q31" t="s">
        <v>91</v>
      </c>
      <c r="V31">
        <v>0</v>
      </c>
      <c r="W31">
        <v>14</v>
      </c>
      <c r="X31">
        <v>14</v>
      </c>
      <c r="Y31">
        <v>15</v>
      </c>
      <c r="Z31">
        <v>69.056035800000203</v>
      </c>
      <c r="AH31">
        <v>69.044599699998798</v>
      </c>
      <c r="AI31">
        <v>69.056035800000203</v>
      </c>
      <c r="AJ31">
        <v>69.056035800000203</v>
      </c>
      <c r="AK31">
        <v>69.056035800000203</v>
      </c>
      <c r="AL31">
        <v>3.7816000040038402E-3</v>
      </c>
      <c r="AM31">
        <v>71.094416200001405</v>
      </c>
      <c r="AN31" t="s">
        <v>84</v>
      </c>
      <c r="AO31" t="s">
        <v>198</v>
      </c>
      <c r="AP31" t="s">
        <v>149</v>
      </c>
      <c r="AQ31" t="s">
        <v>88</v>
      </c>
      <c r="AR31" t="s">
        <v>89</v>
      </c>
      <c r="AS31" t="s">
        <v>89</v>
      </c>
      <c r="AT31" t="s">
        <v>202</v>
      </c>
      <c r="AU31" t="s">
        <v>91</v>
      </c>
      <c r="AV31">
        <v>2</v>
      </c>
      <c r="AW31">
        <v>1</v>
      </c>
      <c r="AX31" t="s">
        <v>174</v>
      </c>
      <c r="AY31" t="s">
        <v>58</v>
      </c>
      <c r="BA31" t="s">
        <v>59</v>
      </c>
      <c r="BB31">
        <v>120.268053434433</v>
      </c>
      <c r="BC31" t="s">
        <v>175</v>
      </c>
    </row>
    <row r="32" spans="2:55" x14ac:dyDescent="0.3">
      <c r="B32">
        <v>15</v>
      </c>
      <c r="C32">
        <v>15</v>
      </c>
      <c r="D32">
        <v>0</v>
      </c>
      <c r="G32" t="s">
        <v>137</v>
      </c>
      <c r="H32" t="s">
        <v>55</v>
      </c>
      <c r="I32" t="s">
        <v>76</v>
      </c>
      <c r="J32" t="s">
        <v>203</v>
      </c>
      <c r="K32" t="s">
        <v>198</v>
      </c>
      <c r="L32" t="s">
        <v>149</v>
      </c>
      <c r="M32" t="s">
        <v>88</v>
      </c>
      <c r="N32" t="s">
        <v>89</v>
      </c>
      <c r="O32" t="s">
        <v>89</v>
      </c>
      <c r="P32" t="s">
        <v>204</v>
      </c>
      <c r="Q32" t="s">
        <v>91</v>
      </c>
      <c r="V32">
        <v>0</v>
      </c>
      <c r="W32">
        <v>15</v>
      </c>
      <c r="X32">
        <v>15</v>
      </c>
      <c r="Y32">
        <v>3</v>
      </c>
      <c r="Z32">
        <v>71.107545899998499</v>
      </c>
      <c r="AH32">
        <v>71.098228399998305</v>
      </c>
      <c r="AI32">
        <v>71.107545899998499</v>
      </c>
      <c r="AJ32">
        <v>71.107545899998499</v>
      </c>
      <c r="AK32">
        <v>71.107545899998499</v>
      </c>
      <c r="AL32">
        <v>3.65519999468233E-3</v>
      </c>
      <c r="AM32">
        <v>84.961387700000998</v>
      </c>
      <c r="AN32" t="s">
        <v>203</v>
      </c>
      <c r="AO32" t="s">
        <v>198</v>
      </c>
      <c r="AP32" t="s">
        <v>149</v>
      </c>
      <c r="AQ32" t="s">
        <v>88</v>
      </c>
      <c r="AR32" t="s">
        <v>89</v>
      </c>
      <c r="AS32" t="s">
        <v>89</v>
      </c>
      <c r="AT32" t="s">
        <v>204</v>
      </c>
      <c r="AU32" t="s">
        <v>91</v>
      </c>
      <c r="AV32">
        <v>2</v>
      </c>
      <c r="AW32">
        <v>1</v>
      </c>
      <c r="AX32" t="s">
        <v>174</v>
      </c>
      <c r="AY32" t="s">
        <v>58</v>
      </c>
      <c r="BA32" t="s">
        <v>59</v>
      </c>
      <c r="BB32">
        <v>120.268053434433</v>
      </c>
      <c r="BC32" t="s">
        <v>175</v>
      </c>
    </row>
    <row r="33" spans="2:55" x14ac:dyDescent="0.3">
      <c r="B33">
        <v>16</v>
      </c>
      <c r="C33">
        <v>16</v>
      </c>
      <c r="D33">
        <v>0</v>
      </c>
      <c r="G33" t="s">
        <v>133</v>
      </c>
      <c r="H33" t="s">
        <v>71</v>
      </c>
      <c r="I33" t="s">
        <v>76</v>
      </c>
      <c r="J33" t="s">
        <v>71</v>
      </c>
      <c r="K33" t="s">
        <v>198</v>
      </c>
      <c r="L33" t="s">
        <v>149</v>
      </c>
      <c r="M33" t="s">
        <v>88</v>
      </c>
      <c r="N33" t="s">
        <v>89</v>
      </c>
      <c r="O33" t="s">
        <v>89</v>
      </c>
      <c r="P33" t="s">
        <v>205</v>
      </c>
      <c r="Q33" t="s">
        <v>91</v>
      </c>
      <c r="V33">
        <v>0</v>
      </c>
      <c r="W33">
        <v>16</v>
      </c>
      <c r="X33">
        <v>16</v>
      </c>
      <c r="Y33">
        <v>4</v>
      </c>
      <c r="Z33">
        <v>84.974317899999704</v>
      </c>
      <c r="AH33">
        <v>84.965242500002205</v>
      </c>
      <c r="AI33">
        <v>84.974317899999704</v>
      </c>
      <c r="AJ33">
        <v>84.974317899999704</v>
      </c>
      <c r="AK33">
        <v>84.974317899999704</v>
      </c>
      <c r="AL33">
        <v>3.69589999900199E-3</v>
      </c>
      <c r="AM33">
        <v>89.420143399998693</v>
      </c>
      <c r="AN33" t="s">
        <v>71</v>
      </c>
      <c r="AO33" t="s">
        <v>198</v>
      </c>
      <c r="AP33" t="s">
        <v>149</v>
      </c>
      <c r="AQ33" t="s">
        <v>88</v>
      </c>
      <c r="AR33" t="s">
        <v>89</v>
      </c>
      <c r="AS33" t="s">
        <v>89</v>
      </c>
      <c r="AT33" t="s">
        <v>205</v>
      </c>
      <c r="AU33" t="s">
        <v>91</v>
      </c>
      <c r="AV33">
        <v>2</v>
      </c>
      <c r="AW33">
        <v>1</v>
      </c>
      <c r="AX33" t="s">
        <v>174</v>
      </c>
      <c r="AY33" t="s">
        <v>58</v>
      </c>
      <c r="BA33" t="s">
        <v>59</v>
      </c>
      <c r="BB33">
        <v>120.268053434433</v>
      </c>
      <c r="BC33" t="s">
        <v>175</v>
      </c>
    </row>
    <row r="34" spans="2:55" x14ac:dyDescent="0.3">
      <c r="B34">
        <v>17</v>
      </c>
      <c r="C34">
        <v>17</v>
      </c>
      <c r="D34">
        <v>0</v>
      </c>
      <c r="G34" t="s">
        <v>112</v>
      </c>
      <c r="H34" t="s">
        <v>113</v>
      </c>
      <c r="I34" t="s">
        <v>76</v>
      </c>
      <c r="J34" t="s">
        <v>113</v>
      </c>
      <c r="K34" t="s">
        <v>198</v>
      </c>
      <c r="L34" t="s">
        <v>149</v>
      </c>
      <c r="M34" t="s">
        <v>88</v>
      </c>
      <c r="N34" t="s">
        <v>89</v>
      </c>
      <c r="O34" t="s">
        <v>89</v>
      </c>
      <c r="P34" t="s">
        <v>206</v>
      </c>
      <c r="Q34" t="s">
        <v>91</v>
      </c>
      <c r="V34">
        <v>0</v>
      </c>
      <c r="W34">
        <v>17</v>
      </c>
      <c r="X34">
        <v>17</v>
      </c>
      <c r="Y34">
        <v>2</v>
      </c>
      <c r="Z34">
        <v>89.435043700003007</v>
      </c>
      <c r="AH34">
        <v>89.423838499998894</v>
      </c>
      <c r="AI34">
        <v>89.435043700003007</v>
      </c>
      <c r="AJ34">
        <v>89.435043700003007</v>
      </c>
      <c r="AK34">
        <v>89.435043700003007</v>
      </c>
      <c r="AL34">
        <v>3.5232000009273101E-3</v>
      </c>
      <c r="AM34">
        <v>92.5479708999992</v>
      </c>
      <c r="AN34" t="s">
        <v>113</v>
      </c>
      <c r="AO34" t="s">
        <v>198</v>
      </c>
      <c r="AP34" t="s">
        <v>149</v>
      </c>
      <c r="AQ34" t="s">
        <v>88</v>
      </c>
      <c r="AR34" t="s">
        <v>89</v>
      </c>
      <c r="AS34" t="s">
        <v>89</v>
      </c>
      <c r="AT34" t="s">
        <v>206</v>
      </c>
      <c r="AU34" t="s">
        <v>91</v>
      </c>
      <c r="AV34">
        <v>2</v>
      </c>
      <c r="AW34">
        <v>1</v>
      </c>
      <c r="AX34" t="s">
        <v>174</v>
      </c>
      <c r="AY34" t="s">
        <v>58</v>
      </c>
      <c r="BA34" t="s">
        <v>59</v>
      </c>
      <c r="BB34">
        <v>120.268053434433</v>
      </c>
      <c r="BC34" t="s">
        <v>175</v>
      </c>
    </row>
    <row r="35" spans="2:55" x14ac:dyDescent="0.3">
      <c r="B35">
        <v>18</v>
      </c>
      <c r="C35">
        <v>18</v>
      </c>
      <c r="D35">
        <v>0</v>
      </c>
      <c r="G35" t="s">
        <v>103</v>
      </c>
      <c r="H35" t="s">
        <v>63</v>
      </c>
      <c r="I35" t="s">
        <v>76</v>
      </c>
      <c r="J35" t="s">
        <v>63</v>
      </c>
      <c r="K35" t="s">
        <v>198</v>
      </c>
      <c r="L35" t="s">
        <v>149</v>
      </c>
      <c r="M35" t="s">
        <v>88</v>
      </c>
      <c r="N35" t="s">
        <v>89</v>
      </c>
      <c r="O35" t="s">
        <v>89</v>
      </c>
      <c r="P35" t="s">
        <v>207</v>
      </c>
      <c r="Q35" t="s">
        <v>91</v>
      </c>
      <c r="V35">
        <v>0</v>
      </c>
      <c r="W35">
        <v>18</v>
      </c>
      <c r="X35">
        <v>18</v>
      </c>
      <c r="Y35">
        <v>1</v>
      </c>
      <c r="Z35">
        <v>92.559976600001306</v>
      </c>
      <c r="AH35">
        <v>92.551745800003104</v>
      </c>
      <c r="AI35">
        <v>92.559976600001306</v>
      </c>
      <c r="AJ35">
        <v>92.559976600001306</v>
      </c>
      <c r="AK35">
        <v>92.559976600001306</v>
      </c>
      <c r="AL35">
        <v>3.63040000229375E-3</v>
      </c>
      <c r="AM35">
        <v>95.494032700000304</v>
      </c>
      <c r="AN35" t="s">
        <v>63</v>
      </c>
      <c r="AO35" t="s">
        <v>198</v>
      </c>
      <c r="AP35" t="s">
        <v>149</v>
      </c>
      <c r="AQ35" t="s">
        <v>88</v>
      </c>
      <c r="AR35" t="s">
        <v>89</v>
      </c>
      <c r="AS35" t="s">
        <v>89</v>
      </c>
      <c r="AT35" t="s">
        <v>207</v>
      </c>
      <c r="AU35" t="s">
        <v>91</v>
      </c>
      <c r="AV35">
        <v>2</v>
      </c>
      <c r="AW35">
        <v>1</v>
      </c>
      <c r="AX35" t="s">
        <v>174</v>
      </c>
      <c r="AY35" t="s">
        <v>58</v>
      </c>
      <c r="BA35" t="s">
        <v>59</v>
      </c>
      <c r="BB35">
        <v>120.268053434433</v>
      </c>
      <c r="BC35" t="s">
        <v>175</v>
      </c>
    </row>
    <row r="36" spans="2:55" x14ac:dyDescent="0.3">
      <c r="B36">
        <v>19</v>
      </c>
      <c r="C36">
        <v>19</v>
      </c>
      <c r="D36">
        <v>0</v>
      </c>
      <c r="G36" t="s">
        <v>119</v>
      </c>
      <c r="H36" t="s">
        <v>120</v>
      </c>
      <c r="I36" t="s">
        <v>85</v>
      </c>
      <c r="J36" t="s">
        <v>120</v>
      </c>
      <c r="K36" t="s">
        <v>198</v>
      </c>
      <c r="L36" t="s">
        <v>149</v>
      </c>
      <c r="M36" t="s">
        <v>88</v>
      </c>
      <c r="N36" t="s">
        <v>89</v>
      </c>
      <c r="O36" t="s">
        <v>89</v>
      </c>
      <c r="P36" t="s">
        <v>208</v>
      </c>
      <c r="Q36" t="s">
        <v>91</v>
      </c>
      <c r="V36">
        <v>0</v>
      </c>
      <c r="W36">
        <v>19</v>
      </c>
      <c r="X36">
        <v>19</v>
      </c>
      <c r="Y36">
        <v>19</v>
      </c>
      <c r="Z36">
        <v>95.506413299997803</v>
      </c>
      <c r="AH36">
        <v>95.497635899999295</v>
      </c>
      <c r="AI36">
        <v>95.506413299997803</v>
      </c>
      <c r="AJ36">
        <v>95.506413299997803</v>
      </c>
      <c r="AK36">
        <v>95.506413299997803</v>
      </c>
      <c r="AL36">
        <v>3.4502999988035299E-3</v>
      </c>
      <c r="AM36">
        <v>98.722324000002104</v>
      </c>
      <c r="AN36" t="s">
        <v>120</v>
      </c>
      <c r="AO36" t="s">
        <v>198</v>
      </c>
      <c r="AP36" t="s">
        <v>149</v>
      </c>
      <c r="AQ36" t="s">
        <v>88</v>
      </c>
      <c r="AR36" t="s">
        <v>89</v>
      </c>
      <c r="AS36" t="s">
        <v>89</v>
      </c>
      <c r="AT36" t="s">
        <v>208</v>
      </c>
      <c r="AU36" t="s">
        <v>91</v>
      </c>
      <c r="AV36">
        <v>2</v>
      </c>
      <c r="AW36">
        <v>1</v>
      </c>
      <c r="AX36" t="s">
        <v>174</v>
      </c>
      <c r="AY36" t="s">
        <v>58</v>
      </c>
      <c r="BA36" t="s">
        <v>59</v>
      </c>
      <c r="BB36">
        <v>120.268053434433</v>
      </c>
      <c r="BC36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7F1E-7E32-4C60-866D-CA1804F9215B}">
  <dimension ref="A1:H21"/>
  <sheetViews>
    <sheetView workbookViewId="0">
      <selection sqref="A1:H21"/>
    </sheetView>
  </sheetViews>
  <sheetFormatPr defaultRowHeight="14.4" x14ac:dyDescent="0.3"/>
  <sheetData>
    <row r="1" spans="1:8" x14ac:dyDescent="0.3">
      <c r="A1" t="s">
        <v>7</v>
      </c>
      <c r="B1" t="s">
        <v>8</v>
      </c>
      <c r="C1" t="s">
        <v>9</v>
      </c>
      <c r="D1" t="s">
        <v>139</v>
      </c>
      <c r="G1">
        <v>14</v>
      </c>
      <c r="H1">
        <f>G1/15</f>
        <v>0.93333333333333335</v>
      </c>
    </row>
    <row r="2" spans="1:8" x14ac:dyDescent="0.3">
      <c r="A2" t="s">
        <v>72</v>
      </c>
      <c r="B2" t="s">
        <v>76</v>
      </c>
      <c r="C2" t="s">
        <v>72</v>
      </c>
      <c r="D2" t="s">
        <v>140</v>
      </c>
      <c r="G2">
        <v>5</v>
      </c>
      <c r="H2">
        <f>G2/5</f>
        <v>1</v>
      </c>
    </row>
    <row r="3" spans="1:8" x14ac:dyDescent="0.3">
      <c r="A3" t="s">
        <v>108</v>
      </c>
      <c r="B3" t="s">
        <v>85</v>
      </c>
      <c r="C3" s="1" t="s">
        <v>108</v>
      </c>
    </row>
    <row r="4" spans="1:8" x14ac:dyDescent="0.3">
      <c r="A4" t="s">
        <v>74</v>
      </c>
      <c r="B4" t="s">
        <v>76</v>
      </c>
      <c r="C4" t="s">
        <v>74</v>
      </c>
      <c r="F4" t="s">
        <v>141</v>
      </c>
      <c r="G4">
        <f>H1-H2</f>
        <v>-6.6666666666666652E-2</v>
      </c>
    </row>
    <row r="5" spans="1:8" x14ac:dyDescent="0.3">
      <c r="A5" t="s">
        <v>69</v>
      </c>
      <c r="B5" t="s">
        <v>76</v>
      </c>
      <c r="C5" t="s">
        <v>69</v>
      </c>
      <c r="F5" t="s">
        <v>209</v>
      </c>
    </row>
    <row r="6" spans="1:8" x14ac:dyDescent="0.3">
      <c r="A6" t="s">
        <v>65</v>
      </c>
      <c r="B6" t="s">
        <v>76</v>
      </c>
      <c r="C6" t="s">
        <v>65</v>
      </c>
    </row>
    <row r="7" spans="1:8" x14ac:dyDescent="0.3">
      <c r="A7" t="s">
        <v>68</v>
      </c>
      <c r="B7" t="s">
        <v>76</v>
      </c>
      <c r="C7" t="s">
        <v>68</v>
      </c>
    </row>
    <row r="8" spans="1:8" x14ac:dyDescent="0.3">
      <c r="A8" t="s">
        <v>95</v>
      </c>
      <c r="B8" t="s">
        <v>85</v>
      </c>
      <c r="C8" s="1" t="s">
        <v>95</v>
      </c>
    </row>
    <row r="9" spans="1:8" x14ac:dyDescent="0.3">
      <c r="A9" t="s">
        <v>62</v>
      </c>
      <c r="B9" t="s">
        <v>76</v>
      </c>
      <c r="C9" t="s">
        <v>62</v>
      </c>
    </row>
    <row r="10" spans="1:8" x14ac:dyDescent="0.3">
      <c r="A10" t="s">
        <v>131</v>
      </c>
      <c r="B10" t="s">
        <v>85</v>
      </c>
      <c r="C10" s="1" t="s">
        <v>131</v>
      </c>
    </row>
    <row r="11" spans="1:8" x14ac:dyDescent="0.3">
      <c r="A11" t="s">
        <v>67</v>
      </c>
      <c r="B11" t="s">
        <v>76</v>
      </c>
      <c r="C11" t="s">
        <v>67</v>
      </c>
    </row>
    <row r="12" spans="1:8" x14ac:dyDescent="0.3">
      <c r="A12" t="s">
        <v>64</v>
      </c>
      <c r="B12" t="s">
        <v>76</v>
      </c>
      <c r="C12" t="s">
        <v>64</v>
      </c>
    </row>
    <row r="13" spans="1:8" x14ac:dyDescent="0.3">
      <c r="A13" t="s">
        <v>70</v>
      </c>
      <c r="B13" t="s">
        <v>76</v>
      </c>
      <c r="C13" t="s">
        <v>70</v>
      </c>
    </row>
    <row r="14" spans="1:8" x14ac:dyDescent="0.3">
      <c r="A14" t="s">
        <v>73</v>
      </c>
      <c r="B14" t="s">
        <v>76</v>
      </c>
      <c r="C14" t="s">
        <v>73</v>
      </c>
    </row>
    <row r="15" spans="1:8" x14ac:dyDescent="0.3">
      <c r="A15" t="s">
        <v>61</v>
      </c>
      <c r="B15" t="s">
        <v>76</v>
      </c>
      <c r="C15" t="s">
        <v>61</v>
      </c>
    </row>
    <row r="16" spans="1:8" x14ac:dyDescent="0.3">
      <c r="A16" t="s">
        <v>84</v>
      </c>
      <c r="B16" t="s">
        <v>85</v>
      </c>
      <c r="C16" s="1" t="s">
        <v>84</v>
      </c>
    </row>
    <row r="17" spans="1:3" x14ac:dyDescent="0.3">
      <c r="A17" t="s">
        <v>55</v>
      </c>
      <c r="B17" t="s">
        <v>76</v>
      </c>
      <c r="C17" s="2" t="s">
        <v>203</v>
      </c>
    </row>
    <row r="18" spans="1:3" x14ac:dyDescent="0.3">
      <c r="A18" t="s">
        <v>71</v>
      </c>
      <c r="B18" t="s">
        <v>76</v>
      </c>
      <c r="C18" t="s">
        <v>71</v>
      </c>
    </row>
    <row r="19" spans="1:3" x14ac:dyDescent="0.3">
      <c r="A19" t="s">
        <v>113</v>
      </c>
      <c r="B19" t="s">
        <v>76</v>
      </c>
      <c r="C19" t="s">
        <v>113</v>
      </c>
    </row>
    <row r="20" spans="1:3" x14ac:dyDescent="0.3">
      <c r="A20" t="s">
        <v>63</v>
      </c>
      <c r="B20" t="s">
        <v>76</v>
      </c>
      <c r="C20" t="s">
        <v>63</v>
      </c>
    </row>
    <row r="21" spans="1:3" x14ac:dyDescent="0.3">
      <c r="A21" t="s">
        <v>120</v>
      </c>
      <c r="B21" t="s">
        <v>85</v>
      </c>
      <c r="C21" s="1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6CD0-72F3-42C9-966F-F5A54AFB9882}">
  <dimension ref="A1:BD36"/>
  <sheetViews>
    <sheetView workbookViewId="0">
      <selection sqref="A1:XFD1048576"/>
    </sheetView>
  </sheetViews>
  <sheetFormatPr defaultRowHeight="14.4" x14ac:dyDescent="0.3"/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210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72</v>
      </c>
      <c r="B2">
        <v>0</v>
      </c>
      <c r="C2">
        <v>0</v>
      </c>
      <c r="D2">
        <v>0</v>
      </c>
      <c r="E2">
        <v>1.2</v>
      </c>
      <c r="F2">
        <v>9.1822722999931994</v>
      </c>
      <c r="R2">
        <v>0</v>
      </c>
      <c r="S2">
        <v>0</v>
      </c>
      <c r="T2">
        <v>0</v>
      </c>
      <c r="U2">
        <v>4</v>
      </c>
      <c r="Z2">
        <v>3.0008999994606701E-2</v>
      </c>
      <c r="AB2">
        <v>1.8711499993514701E-2</v>
      </c>
      <c r="AC2">
        <v>3.0008999994606701E-2</v>
      </c>
      <c r="AD2">
        <v>3.0008999994606701E-2</v>
      </c>
      <c r="AE2">
        <v>8.0276193999961798</v>
      </c>
      <c r="AF2">
        <v>9.2100191999998007</v>
      </c>
      <c r="AG2">
        <v>1.2</v>
      </c>
      <c r="AH2">
        <v>9.1822722999931994</v>
      </c>
      <c r="AW2">
        <v>1</v>
      </c>
      <c r="AX2">
        <v>1</v>
      </c>
      <c r="AY2" t="s">
        <v>211</v>
      </c>
      <c r="AZ2" t="s">
        <v>58</v>
      </c>
      <c r="BB2" t="s">
        <v>59</v>
      </c>
      <c r="BC2">
        <v>120.237974999496</v>
      </c>
      <c r="BD2" t="s">
        <v>212</v>
      </c>
    </row>
    <row r="3" spans="1:56" x14ac:dyDescent="0.3">
      <c r="A3" t="s">
        <v>68</v>
      </c>
      <c r="B3">
        <v>1</v>
      </c>
      <c r="C3">
        <v>1</v>
      </c>
      <c r="D3">
        <v>0</v>
      </c>
      <c r="E3">
        <v>1</v>
      </c>
      <c r="F3">
        <v>1.4376577999937501</v>
      </c>
      <c r="R3">
        <v>0</v>
      </c>
      <c r="S3">
        <v>1</v>
      </c>
      <c r="T3">
        <v>1</v>
      </c>
      <c r="U3">
        <v>10</v>
      </c>
      <c r="Z3">
        <v>9.2184844000002997</v>
      </c>
      <c r="AB3">
        <v>9.2126332999978295</v>
      </c>
      <c r="AC3">
        <v>9.2184844000002997</v>
      </c>
      <c r="AD3">
        <v>9.2184844000002997</v>
      </c>
      <c r="AF3">
        <v>10.6561714999988</v>
      </c>
      <c r="AG3">
        <v>1</v>
      </c>
      <c r="AH3">
        <v>1.4376577999937501</v>
      </c>
      <c r="AW3">
        <v>1</v>
      </c>
      <c r="AX3">
        <v>1</v>
      </c>
      <c r="AY3" t="s">
        <v>211</v>
      </c>
      <c r="AZ3" t="s">
        <v>58</v>
      </c>
      <c r="BB3" t="s">
        <v>59</v>
      </c>
      <c r="BC3">
        <v>120.237974999496</v>
      </c>
      <c r="BD3" t="s">
        <v>212</v>
      </c>
    </row>
    <row r="4" spans="1:56" x14ac:dyDescent="0.3">
      <c r="A4" t="s">
        <v>71</v>
      </c>
      <c r="B4">
        <v>2</v>
      </c>
      <c r="C4">
        <v>2</v>
      </c>
      <c r="D4">
        <v>0</v>
      </c>
      <c r="E4">
        <v>1</v>
      </c>
      <c r="F4">
        <v>1.79412009999941</v>
      </c>
      <c r="R4">
        <v>0</v>
      </c>
      <c r="S4">
        <v>2</v>
      </c>
      <c r="T4">
        <v>2</v>
      </c>
      <c r="U4">
        <v>9</v>
      </c>
      <c r="Z4">
        <v>10.6665718999938</v>
      </c>
      <c r="AB4">
        <v>10.6608791999969</v>
      </c>
      <c r="AC4">
        <v>10.6665718999938</v>
      </c>
      <c r="AD4">
        <v>10.6665718999938</v>
      </c>
      <c r="AF4">
        <v>12.4623585999943</v>
      </c>
      <c r="AG4">
        <v>1</v>
      </c>
      <c r="AH4">
        <v>1.79412009999941</v>
      </c>
      <c r="AW4">
        <v>1</v>
      </c>
      <c r="AX4">
        <v>1</v>
      </c>
      <c r="AY4" t="s">
        <v>211</v>
      </c>
      <c r="AZ4" t="s">
        <v>58</v>
      </c>
      <c r="BB4" t="s">
        <v>59</v>
      </c>
      <c r="BC4">
        <v>120.237974999496</v>
      </c>
      <c r="BD4" t="s">
        <v>212</v>
      </c>
    </row>
    <row r="5" spans="1:56" x14ac:dyDescent="0.3">
      <c r="A5" t="s">
        <v>62</v>
      </c>
      <c r="B5">
        <v>3</v>
      </c>
      <c r="C5">
        <v>3</v>
      </c>
      <c r="D5">
        <v>0</v>
      </c>
      <c r="E5">
        <v>1</v>
      </c>
      <c r="F5">
        <v>0.72950119999586605</v>
      </c>
      <c r="R5">
        <v>0</v>
      </c>
      <c r="S5">
        <v>3</v>
      </c>
      <c r="T5">
        <v>3</v>
      </c>
      <c r="U5">
        <v>2</v>
      </c>
      <c r="Z5">
        <v>12.4728050999983</v>
      </c>
      <c r="AB5">
        <v>12.4671511999986</v>
      </c>
      <c r="AC5">
        <v>12.4728050999983</v>
      </c>
      <c r="AD5">
        <v>12.4728050999983</v>
      </c>
      <c r="AF5">
        <v>13.2038793999963</v>
      </c>
      <c r="AG5">
        <v>1</v>
      </c>
      <c r="AH5">
        <v>0.72950119999586605</v>
      </c>
      <c r="AW5">
        <v>1</v>
      </c>
      <c r="AX5">
        <v>1</v>
      </c>
      <c r="AY5" t="s">
        <v>211</v>
      </c>
      <c r="AZ5" t="s">
        <v>58</v>
      </c>
      <c r="BB5" t="s">
        <v>59</v>
      </c>
      <c r="BC5">
        <v>120.237974999496</v>
      </c>
      <c r="BD5" t="s">
        <v>212</v>
      </c>
    </row>
    <row r="6" spans="1:56" x14ac:dyDescent="0.3">
      <c r="A6" t="s">
        <v>74</v>
      </c>
      <c r="B6">
        <v>4</v>
      </c>
      <c r="C6">
        <v>4</v>
      </c>
      <c r="D6">
        <v>0</v>
      </c>
      <c r="E6">
        <v>1</v>
      </c>
      <c r="F6">
        <v>1.12316339999961</v>
      </c>
      <c r="R6">
        <v>0</v>
      </c>
      <c r="S6">
        <v>4</v>
      </c>
      <c r="T6">
        <v>4</v>
      </c>
      <c r="U6">
        <v>0</v>
      </c>
      <c r="Z6">
        <v>13.2137692999967</v>
      </c>
      <c r="AB6">
        <v>13.206631900000501</v>
      </c>
      <c r="AC6">
        <v>13.2137692999967</v>
      </c>
      <c r="AD6">
        <v>13.2137692999967</v>
      </c>
      <c r="AF6">
        <v>14.3377868999959</v>
      </c>
      <c r="AG6">
        <v>1</v>
      </c>
      <c r="AH6">
        <v>1.12316339999961</v>
      </c>
      <c r="AW6">
        <v>1</v>
      </c>
      <c r="AX6">
        <v>1</v>
      </c>
      <c r="AY6" t="s">
        <v>211</v>
      </c>
      <c r="AZ6" t="s">
        <v>58</v>
      </c>
      <c r="BB6" t="s">
        <v>59</v>
      </c>
      <c r="BC6">
        <v>120.237974999496</v>
      </c>
      <c r="BD6" t="s">
        <v>212</v>
      </c>
    </row>
    <row r="7" spans="1:56" x14ac:dyDescent="0.3">
      <c r="A7" t="s">
        <v>64</v>
      </c>
      <c r="B7">
        <v>5</v>
      </c>
      <c r="C7">
        <v>5</v>
      </c>
      <c r="D7">
        <v>0</v>
      </c>
      <c r="E7">
        <v>1</v>
      </c>
      <c r="F7">
        <v>1.3478719000049699</v>
      </c>
      <c r="R7">
        <v>0</v>
      </c>
      <c r="S7">
        <v>5</v>
      </c>
      <c r="T7">
        <v>5</v>
      </c>
      <c r="U7">
        <v>5</v>
      </c>
      <c r="Z7">
        <v>14.348615899994901</v>
      </c>
      <c r="AB7">
        <v>14.340789299996599</v>
      </c>
      <c r="AC7">
        <v>14.348615899994901</v>
      </c>
      <c r="AD7">
        <v>14.348615899994901</v>
      </c>
      <c r="AF7">
        <v>15.694020799994099</v>
      </c>
      <c r="AG7">
        <v>1</v>
      </c>
      <c r="AH7">
        <v>1.3478719000049699</v>
      </c>
      <c r="AW7">
        <v>1</v>
      </c>
      <c r="AX7">
        <v>1</v>
      </c>
      <c r="AY7" t="s">
        <v>211</v>
      </c>
      <c r="AZ7" t="s">
        <v>58</v>
      </c>
      <c r="BB7" t="s">
        <v>59</v>
      </c>
      <c r="BC7">
        <v>120.237974999496</v>
      </c>
      <c r="BD7" t="s">
        <v>212</v>
      </c>
    </row>
    <row r="8" spans="1:56" x14ac:dyDescent="0.3">
      <c r="A8" t="s">
        <v>70</v>
      </c>
      <c r="B8">
        <v>6</v>
      </c>
      <c r="C8">
        <v>6</v>
      </c>
      <c r="D8">
        <v>0</v>
      </c>
      <c r="E8">
        <v>1</v>
      </c>
      <c r="F8">
        <v>1.6163219000009099</v>
      </c>
      <c r="R8">
        <v>0</v>
      </c>
      <c r="S8">
        <v>6</v>
      </c>
      <c r="T8">
        <v>6</v>
      </c>
      <c r="U8">
        <v>1</v>
      </c>
      <c r="Z8">
        <v>15.701636799996701</v>
      </c>
      <c r="AB8">
        <v>15.6964205999975</v>
      </c>
      <c r="AC8">
        <v>15.701636799996701</v>
      </c>
      <c r="AD8">
        <v>15.701636799996701</v>
      </c>
      <c r="AF8">
        <v>17.320203600000202</v>
      </c>
      <c r="AG8">
        <v>1</v>
      </c>
      <c r="AH8">
        <v>1.6163219000009099</v>
      </c>
      <c r="AW8">
        <v>1</v>
      </c>
      <c r="AX8">
        <v>1</v>
      </c>
      <c r="AY8" t="s">
        <v>211</v>
      </c>
      <c r="AZ8" t="s">
        <v>58</v>
      </c>
      <c r="BB8" t="s">
        <v>59</v>
      </c>
      <c r="BC8">
        <v>120.237974999496</v>
      </c>
      <c r="BD8" t="s">
        <v>212</v>
      </c>
    </row>
    <row r="9" spans="1:56" x14ac:dyDescent="0.3">
      <c r="A9" t="s">
        <v>55</v>
      </c>
      <c r="B9">
        <v>7</v>
      </c>
      <c r="C9">
        <v>7</v>
      </c>
      <c r="D9">
        <v>0</v>
      </c>
      <c r="E9">
        <v>1</v>
      </c>
      <c r="F9">
        <v>0.85994229999778304</v>
      </c>
      <c r="R9">
        <v>0</v>
      </c>
      <c r="S9">
        <v>7</v>
      </c>
      <c r="T9">
        <v>7</v>
      </c>
      <c r="U9">
        <v>8</v>
      </c>
      <c r="Z9">
        <v>17.331239299994099</v>
      </c>
      <c r="AB9">
        <v>17.323384899995201</v>
      </c>
      <c r="AC9">
        <v>17.331239299994099</v>
      </c>
      <c r="AD9">
        <v>17.331239299994099</v>
      </c>
      <c r="AF9">
        <v>18.191007899993501</v>
      </c>
      <c r="AG9">
        <v>1</v>
      </c>
      <c r="AH9">
        <v>0.85994229999778304</v>
      </c>
      <c r="AW9">
        <v>1</v>
      </c>
      <c r="AX9">
        <v>1</v>
      </c>
      <c r="AY9" t="s">
        <v>211</v>
      </c>
      <c r="AZ9" t="s">
        <v>58</v>
      </c>
      <c r="BB9" t="s">
        <v>59</v>
      </c>
      <c r="BC9">
        <v>120.237974999496</v>
      </c>
      <c r="BD9" t="s">
        <v>212</v>
      </c>
    </row>
    <row r="10" spans="1:56" x14ac:dyDescent="0.3">
      <c r="A10" t="s">
        <v>61</v>
      </c>
      <c r="B10">
        <v>8</v>
      </c>
      <c r="C10">
        <v>8</v>
      </c>
      <c r="D10">
        <v>0</v>
      </c>
      <c r="E10">
        <v>1</v>
      </c>
      <c r="F10">
        <v>0.76856279999628896</v>
      </c>
      <c r="R10">
        <v>0</v>
      </c>
      <c r="S10">
        <v>8</v>
      </c>
      <c r="T10">
        <v>8</v>
      </c>
      <c r="U10">
        <v>12</v>
      </c>
      <c r="Z10">
        <v>18.2025720999954</v>
      </c>
      <c r="AB10">
        <v>18.194684899994101</v>
      </c>
      <c r="AC10">
        <v>18.2025720999954</v>
      </c>
      <c r="AD10">
        <v>18.2025720999954</v>
      </c>
      <c r="AF10">
        <v>18.9717029999956</v>
      </c>
      <c r="AG10">
        <v>1</v>
      </c>
      <c r="AH10">
        <v>0.76856279999628896</v>
      </c>
      <c r="AW10">
        <v>1</v>
      </c>
      <c r="AX10">
        <v>1</v>
      </c>
      <c r="AY10" t="s">
        <v>211</v>
      </c>
      <c r="AZ10" t="s">
        <v>58</v>
      </c>
      <c r="BB10" t="s">
        <v>59</v>
      </c>
      <c r="BC10">
        <v>120.237974999496</v>
      </c>
      <c r="BD10" t="s">
        <v>212</v>
      </c>
    </row>
    <row r="11" spans="1:56" x14ac:dyDescent="0.3">
      <c r="A11" t="s">
        <v>63</v>
      </c>
      <c r="B11">
        <v>9</v>
      </c>
      <c r="C11">
        <v>9</v>
      </c>
      <c r="D11">
        <v>0</v>
      </c>
      <c r="E11">
        <v>1</v>
      </c>
      <c r="F11">
        <v>0.74840899999981003</v>
      </c>
      <c r="R11">
        <v>0</v>
      </c>
      <c r="S11">
        <v>9</v>
      </c>
      <c r="T11">
        <v>9</v>
      </c>
      <c r="U11">
        <v>6</v>
      </c>
      <c r="Z11">
        <v>18.984101899994101</v>
      </c>
      <c r="AB11">
        <v>18.975901300000199</v>
      </c>
      <c r="AC11">
        <v>18.984101899994101</v>
      </c>
      <c r="AD11">
        <v>18.984101899994101</v>
      </c>
      <c r="AF11">
        <v>19.7329690999977</v>
      </c>
      <c r="AG11">
        <v>1</v>
      </c>
      <c r="AH11">
        <v>0.74840899999981003</v>
      </c>
      <c r="AW11">
        <v>1</v>
      </c>
      <c r="AX11">
        <v>1</v>
      </c>
      <c r="AY11" t="s">
        <v>211</v>
      </c>
      <c r="AZ11" t="s">
        <v>58</v>
      </c>
      <c r="BB11" t="s">
        <v>59</v>
      </c>
      <c r="BC11">
        <v>120.237974999496</v>
      </c>
      <c r="BD11" t="s">
        <v>212</v>
      </c>
    </row>
    <row r="12" spans="1:56" x14ac:dyDescent="0.3">
      <c r="A12" t="s">
        <v>73</v>
      </c>
      <c r="B12">
        <v>10</v>
      </c>
      <c r="C12">
        <v>10</v>
      </c>
      <c r="D12">
        <v>0</v>
      </c>
      <c r="E12">
        <v>1</v>
      </c>
      <c r="F12">
        <v>1.2365654000022901</v>
      </c>
      <c r="R12">
        <v>0</v>
      </c>
      <c r="S12">
        <v>10</v>
      </c>
      <c r="T12">
        <v>10</v>
      </c>
      <c r="U12">
        <v>13</v>
      </c>
      <c r="Z12">
        <v>19.741359699997702</v>
      </c>
      <c r="AB12">
        <v>19.735292399993298</v>
      </c>
      <c r="AC12">
        <v>19.741359699997702</v>
      </c>
      <c r="AD12">
        <v>19.741359699997702</v>
      </c>
      <c r="AF12">
        <v>20.980044799994999</v>
      </c>
      <c r="AG12">
        <v>1</v>
      </c>
      <c r="AH12">
        <v>1.2365654000022901</v>
      </c>
      <c r="AW12">
        <v>1</v>
      </c>
      <c r="AX12">
        <v>1</v>
      </c>
      <c r="AY12" t="s">
        <v>211</v>
      </c>
      <c r="AZ12" t="s">
        <v>58</v>
      </c>
      <c r="BB12" t="s">
        <v>59</v>
      </c>
      <c r="BC12">
        <v>120.237974999496</v>
      </c>
      <c r="BD12" t="s">
        <v>212</v>
      </c>
    </row>
    <row r="13" spans="1:56" x14ac:dyDescent="0.3">
      <c r="A13" t="s">
        <v>69</v>
      </c>
      <c r="B13">
        <v>11</v>
      </c>
      <c r="C13">
        <v>11</v>
      </c>
      <c r="D13">
        <v>0</v>
      </c>
      <c r="E13">
        <v>1</v>
      </c>
      <c r="F13">
        <v>1.1967328000027899</v>
      </c>
      <c r="R13">
        <v>0</v>
      </c>
      <c r="S13">
        <v>11</v>
      </c>
      <c r="T13">
        <v>11</v>
      </c>
      <c r="U13">
        <v>14</v>
      </c>
      <c r="Z13">
        <v>20.990554099996999</v>
      </c>
      <c r="AB13">
        <v>20.9832138999991</v>
      </c>
      <c r="AC13">
        <v>20.990554099996999</v>
      </c>
      <c r="AD13">
        <v>20.990554099996999</v>
      </c>
      <c r="AF13">
        <v>22.189853099996899</v>
      </c>
      <c r="AG13">
        <v>1</v>
      </c>
      <c r="AH13">
        <v>1.1967328000027899</v>
      </c>
      <c r="AW13">
        <v>1</v>
      </c>
      <c r="AX13">
        <v>1</v>
      </c>
      <c r="AY13" t="s">
        <v>211</v>
      </c>
      <c r="AZ13" t="s">
        <v>58</v>
      </c>
      <c r="BB13" t="s">
        <v>59</v>
      </c>
      <c r="BC13">
        <v>120.237974999496</v>
      </c>
      <c r="BD13" t="s">
        <v>212</v>
      </c>
    </row>
    <row r="14" spans="1:56" x14ac:dyDescent="0.3">
      <c r="A14" t="s">
        <v>66</v>
      </c>
      <c r="B14">
        <v>12</v>
      </c>
      <c r="C14">
        <v>12</v>
      </c>
      <c r="D14">
        <v>0</v>
      </c>
      <c r="E14">
        <v>1</v>
      </c>
      <c r="F14">
        <v>0.88915879999694802</v>
      </c>
      <c r="R14">
        <v>0</v>
      </c>
      <c r="S14">
        <v>12</v>
      </c>
      <c r="T14">
        <v>12</v>
      </c>
      <c r="U14">
        <v>7</v>
      </c>
      <c r="Z14">
        <v>22.2047254999997</v>
      </c>
      <c r="AB14">
        <v>22.196323500000201</v>
      </c>
      <c r="AC14">
        <v>22.2047254999997</v>
      </c>
      <c r="AD14">
        <v>22.2047254999997</v>
      </c>
      <c r="AF14">
        <v>23.092839499993701</v>
      </c>
      <c r="AG14">
        <v>1</v>
      </c>
      <c r="AH14">
        <v>0.88915879999694802</v>
      </c>
      <c r="AW14">
        <v>1</v>
      </c>
      <c r="AX14">
        <v>1</v>
      </c>
      <c r="AY14" t="s">
        <v>211</v>
      </c>
      <c r="AZ14" t="s">
        <v>58</v>
      </c>
      <c r="BB14" t="s">
        <v>59</v>
      </c>
      <c r="BC14">
        <v>120.237974999496</v>
      </c>
      <c r="BD14" t="s">
        <v>212</v>
      </c>
    </row>
    <row r="15" spans="1:56" x14ac:dyDescent="0.3">
      <c r="A15" t="s">
        <v>65</v>
      </c>
      <c r="B15">
        <v>13</v>
      </c>
      <c r="C15">
        <v>13</v>
      </c>
      <c r="D15">
        <v>0</v>
      </c>
      <c r="E15">
        <v>1</v>
      </c>
      <c r="F15">
        <v>0.95217080000293197</v>
      </c>
      <c r="R15">
        <v>0</v>
      </c>
      <c r="S15">
        <v>13</v>
      </c>
      <c r="T15">
        <v>13</v>
      </c>
      <c r="U15">
        <v>11</v>
      </c>
      <c r="Z15">
        <v>23.101942399996901</v>
      </c>
      <c r="AB15">
        <v>23.095859099994399</v>
      </c>
      <c r="AC15">
        <v>23.101942399996901</v>
      </c>
      <c r="AD15">
        <v>23.101942399996901</v>
      </c>
      <c r="AF15">
        <v>24.055956199998</v>
      </c>
      <c r="AG15">
        <v>1</v>
      </c>
      <c r="AH15">
        <v>0.95217080000293197</v>
      </c>
      <c r="AW15">
        <v>1</v>
      </c>
      <c r="AX15">
        <v>1</v>
      </c>
      <c r="AY15" t="s">
        <v>211</v>
      </c>
      <c r="AZ15" t="s">
        <v>58</v>
      </c>
      <c r="BB15" t="s">
        <v>59</v>
      </c>
      <c r="BC15">
        <v>120.237974999496</v>
      </c>
      <c r="BD15" t="s">
        <v>212</v>
      </c>
    </row>
    <row r="16" spans="1:56" x14ac:dyDescent="0.3">
      <c r="A16" t="s">
        <v>67</v>
      </c>
      <c r="B16">
        <v>14</v>
      </c>
      <c r="C16">
        <v>14</v>
      </c>
      <c r="D16">
        <v>0</v>
      </c>
      <c r="E16">
        <v>1</v>
      </c>
      <c r="F16">
        <v>1.13091110000095</v>
      </c>
      <c r="R16">
        <v>0</v>
      </c>
      <c r="S16">
        <v>14</v>
      </c>
      <c r="T16">
        <v>14</v>
      </c>
      <c r="U16">
        <v>3</v>
      </c>
      <c r="Z16">
        <v>24.063733499999199</v>
      </c>
      <c r="AB16">
        <v>24.058377599998401</v>
      </c>
      <c r="AC16">
        <v>24.063733499999199</v>
      </c>
      <c r="AD16">
        <v>24.063733499999199</v>
      </c>
      <c r="AF16">
        <v>25.195045599997599</v>
      </c>
      <c r="AG16">
        <v>1</v>
      </c>
      <c r="AH16">
        <v>1.13091110000095</v>
      </c>
      <c r="AW16">
        <v>1</v>
      </c>
      <c r="AX16">
        <v>1</v>
      </c>
      <c r="AY16" t="s">
        <v>211</v>
      </c>
      <c r="AZ16" t="s">
        <v>58</v>
      </c>
      <c r="BB16" t="s">
        <v>59</v>
      </c>
      <c r="BC16">
        <v>120.237974999496</v>
      </c>
      <c r="BD16" t="s">
        <v>212</v>
      </c>
    </row>
    <row r="17" spans="2:56" x14ac:dyDescent="0.3">
      <c r="B17">
        <v>0</v>
      </c>
      <c r="C17">
        <v>0</v>
      </c>
      <c r="D17">
        <v>0</v>
      </c>
      <c r="G17" t="s">
        <v>133</v>
      </c>
      <c r="H17" t="s">
        <v>71</v>
      </c>
      <c r="I17" t="s">
        <v>76</v>
      </c>
      <c r="J17" t="s">
        <v>71</v>
      </c>
      <c r="K17" t="s">
        <v>213</v>
      </c>
      <c r="L17" t="s">
        <v>128</v>
      </c>
      <c r="M17" t="s">
        <v>88</v>
      </c>
      <c r="N17" t="s">
        <v>89</v>
      </c>
      <c r="O17" t="s">
        <v>89</v>
      </c>
      <c r="P17" t="s">
        <v>214</v>
      </c>
      <c r="Q17" t="s">
        <v>91</v>
      </c>
      <c r="V17">
        <v>0</v>
      </c>
      <c r="W17">
        <v>0</v>
      </c>
      <c r="X17">
        <v>0</v>
      </c>
      <c r="Y17">
        <v>4</v>
      </c>
      <c r="Z17">
        <v>25.211829399995601</v>
      </c>
      <c r="AI17">
        <v>25.2029664999936</v>
      </c>
      <c r="AJ17">
        <v>25.211829399995601</v>
      </c>
      <c r="AK17">
        <v>25.211829399995601</v>
      </c>
      <c r="AL17">
        <v>25.211829399995601</v>
      </c>
      <c r="AM17">
        <v>7.9697999972268008E-3</v>
      </c>
      <c r="AN17">
        <v>32.461126799993501</v>
      </c>
      <c r="AO17" t="s">
        <v>71</v>
      </c>
      <c r="AP17" t="s">
        <v>213</v>
      </c>
      <c r="AQ17" t="s">
        <v>128</v>
      </c>
      <c r="AR17" t="s">
        <v>88</v>
      </c>
      <c r="AS17" t="s">
        <v>89</v>
      </c>
      <c r="AT17" t="s">
        <v>89</v>
      </c>
      <c r="AU17" t="s">
        <v>214</v>
      </c>
      <c r="AV17" t="s">
        <v>91</v>
      </c>
      <c r="AW17">
        <v>1</v>
      </c>
      <c r="AX17">
        <v>1</v>
      </c>
      <c r="AY17" t="s">
        <v>211</v>
      </c>
      <c r="AZ17" t="s">
        <v>58</v>
      </c>
      <c r="BB17" t="s">
        <v>59</v>
      </c>
      <c r="BC17">
        <v>120.237974999496</v>
      </c>
      <c r="BD17" t="s">
        <v>212</v>
      </c>
    </row>
    <row r="18" spans="2:56" x14ac:dyDescent="0.3">
      <c r="B18">
        <v>1</v>
      </c>
      <c r="C18">
        <v>1</v>
      </c>
      <c r="D18">
        <v>0</v>
      </c>
      <c r="G18" t="s">
        <v>122</v>
      </c>
      <c r="H18" t="s">
        <v>64</v>
      </c>
      <c r="I18" t="s">
        <v>76</v>
      </c>
      <c r="J18" t="s">
        <v>64</v>
      </c>
      <c r="K18" t="s">
        <v>213</v>
      </c>
      <c r="L18" t="s">
        <v>128</v>
      </c>
      <c r="M18" t="s">
        <v>88</v>
      </c>
      <c r="N18" t="s">
        <v>89</v>
      </c>
      <c r="O18" t="s">
        <v>89</v>
      </c>
      <c r="P18" t="s">
        <v>215</v>
      </c>
      <c r="Q18" t="s">
        <v>91</v>
      </c>
      <c r="V18">
        <v>0</v>
      </c>
      <c r="W18">
        <v>1</v>
      </c>
      <c r="X18">
        <v>1</v>
      </c>
      <c r="Y18">
        <v>0</v>
      </c>
      <c r="Z18">
        <v>32.473609999993599</v>
      </c>
      <c r="AI18">
        <v>32.464875399993602</v>
      </c>
      <c r="AJ18">
        <v>32.473609999993599</v>
      </c>
      <c r="AK18">
        <v>32.473609999993599</v>
      </c>
      <c r="AL18">
        <v>32.473609999993599</v>
      </c>
      <c r="AM18">
        <v>3.46629999694414E-3</v>
      </c>
      <c r="AN18">
        <v>35.729262599998002</v>
      </c>
      <c r="AO18" t="s">
        <v>64</v>
      </c>
      <c r="AP18" t="s">
        <v>213</v>
      </c>
      <c r="AQ18" t="s">
        <v>128</v>
      </c>
      <c r="AR18" t="s">
        <v>88</v>
      </c>
      <c r="AS18" t="s">
        <v>89</v>
      </c>
      <c r="AT18" t="s">
        <v>89</v>
      </c>
      <c r="AU18" t="s">
        <v>215</v>
      </c>
      <c r="AV18" t="s">
        <v>91</v>
      </c>
      <c r="AW18">
        <v>1</v>
      </c>
      <c r="AX18">
        <v>1</v>
      </c>
      <c r="AY18" t="s">
        <v>211</v>
      </c>
      <c r="AZ18" t="s">
        <v>58</v>
      </c>
      <c r="BB18" t="s">
        <v>59</v>
      </c>
      <c r="BC18">
        <v>120.237974999496</v>
      </c>
      <c r="BD18" t="s">
        <v>212</v>
      </c>
    </row>
    <row r="19" spans="2:56" x14ac:dyDescent="0.3">
      <c r="B19">
        <v>2</v>
      </c>
      <c r="C19">
        <v>2</v>
      </c>
      <c r="D19">
        <v>0</v>
      </c>
      <c r="G19" t="s">
        <v>117</v>
      </c>
      <c r="H19" t="s">
        <v>74</v>
      </c>
      <c r="I19" t="s">
        <v>76</v>
      </c>
      <c r="J19" t="s">
        <v>74</v>
      </c>
      <c r="K19" t="s">
        <v>213</v>
      </c>
      <c r="L19" t="s">
        <v>128</v>
      </c>
      <c r="M19" t="s">
        <v>88</v>
      </c>
      <c r="N19" t="s">
        <v>89</v>
      </c>
      <c r="O19" t="s">
        <v>89</v>
      </c>
      <c r="P19" t="s">
        <v>216</v>
      </c>
      <c r="Q19" t="s">
        <v>91</v>
      </c>
      <c r="V19">
        <v>0</v>
      </c>
      <c r="W19">
        <v>2</v>
      </c>
      <c r="X19">
        <v>2</v>
      </c>
      <c r="Y19">
        <v>13</v>
      </c>
      <c r="Z19">
        <v>35.740960600000101</v>
      </c>
      <c r="AI19">
        <v>35.732439599996702</v>
      </c>
      <c r="AJ19">
        <v>35.740960600000101</v>
      </c>
      <c r="AK19">
        <v>35.740960600000101</v>
      </c>
      <c r="AL19">
        <v>35.740960600000101</v>
      </c>
      <c r="AM19">
        <v>3.0389000021386801E-3</v>
      </c>
      <c r="AN19">
        <v>38.199143199999497</v>
      </c>
      <c r="AO19" t="s">
        <v>74</v>
      </c>
      <c r="AP19" t="s">
        <v>213</v>
      </c>
      <c r="AQ19" t="s">
        <v>128</v>
      </c>
      <c r="AR19" t="s">
        <v>88</v>
      </c>
      <c r="AS19" t="s">
        <v>89</v>
      </c>
      <c r="AT19" t="s">
        <v>89</v>
      </c>
      <c r="AU19" t="s">
        <v>216</v>
      </c>
      <c r="AV19" t="s">
        <v>91</v>
      </c>
      <c r="AW19">
        <v>1</v>
      </c>
      <c r="AX19">
        <v>1</v>
      </c>
      <c r="AY19" t="s">
        <v>211</v>
      </c>
      <c r="AZ19" t="s">
        <v>58</v>
      </c>
      <c r="BB19" t="s">
        <v>59</v>
      </c>
      <c r="BC19">
        <v>120.237974999496</v>
      </c>
      <c r="BD19" t="s">
        <v>212</v>
      </c>
    </row>
    <row r="20" spans="2:56" x14ac:dyDescent="0.3">
      <c r="B20">
        <v>3</v>
      </c>
      <c r="C20">
        <v>3</v>
      </c>
      <c r="D20">
        <v>0</v>
      </c>
      <c r="G20" t="s">
        <v>119</v>
      </c>
      <c r="H20" t="s">
        <v>120</v>
      </c>
      <c r="I20" t="s">
        <v>85</v>
      </c>
      <c r="J20" t="s">
        <v>120</v>
      </c>
      <c r="K20" t="s">
        <v>213</v>
      </c>
      <c r="L20" t="s">
        <v>128</v>
      </c>
      <c r="M20" t="s">
        <v>88</v>
      </c>
      <c r="N20" t="s">
        <v>89</v>
      </c>
      <c r="O20" t="s">
        <v>89</v>
      </c>
      <c r="P20" t="s">
        <v>217</v>
      </c>
      <c r="Q20" t="s">
        <v>91</v>
      </c>
      <c r="V20">
        <v>0</v>
      </c>
      <c r="W20">
        <v>3</v>
      </c>
      <c r="X20">
        <v>3</v>
      </c>
      <c r="Y20">
        <v>19</v>
      </c>
      <c r="Z20">
        <v>38.209197299998699</v>
      </c>
      <c r="AI20">
        <v>38.202163199995901</v>
      </c>
      <c r="AJ20">
        <v>38.209197299998699</v>
      </c>
      <c r="AK20">
        <v>38.209197299998699</v>
      </c>
      <c r="AL20">
        <v>38.209197299998699</v>
      </c>
      <c r="AM20">
        <v>2.8986999968765299E-3</v>
      </c>
      <c r="AN20">
        <v>40.486803499996299</v>
      </c>
      <c r="AO20" t="s">
        <v>120</v>
      </c>
      <c r="AP20" t="s">
        <v>213</v>
      </c>
      <c r="AQ20" t="s">
        <v>128</v>
      </c>
      <c r="AR20" t="s">
        <v>88</v>
      </c>
      <c r="AS20" t="s">
        <v>89</v>
      </c>
      <c r="AT20" t="s">
        <v>89</v>
      </c>
      <c r="AU20" t="s">
        <v>217</v>
      </c>
      <c r="AV20" t="s">
        <v>91</v>
      </c>
      <c r="AW20">
        <v>1</v>
      </c>
      <c r="AX20">
        <v>1</v>
      </c>
      <c r="AY20" t="s">
        <v>211</v>
      </c>
      <c r="AZ20" t="s">
        <v>58</v>
      </c>
      <c r="BB20" t="s">
        <v>59</v>
      </c>
      <c r="BC20">
        <v>120.237974999496</v>
      </c>
      <c r="BD20" t="s">
        <v>212</v>
      </c>
    </row>
    <row r="21" spans="2:56" x14ac:dyDescent="0.3">
      <c r="B21">
        <v>4</v>
      </c>
      <c r="C21">
        <v>4</v>
      </c>
      <c r="D21">
        <v>0</v>
      </c>
      <c r="G21" t="s">
        <v>75</v>
      </c>
      <c r="H21" t="s">
        <v>72</v>
      </c>
      <c r="I21" t="s">
        <v>76</v>
      </c>
      <c r="J21" t="s">
        <v>72</v>
      </c>
      <c r="K21" t="s">
        <v>213</v>
      </c>
      <c r="L21" t="s">
        <v>128</v>
      </c>
      <c r="M21" t="s">
        <v>88</v>
      </c>
      <c r="N21" t="s">
        <v>89</v>
      </c>
      <c r="O21" t="s">
        <v>89</v>
      </c>
      <c r="P21" t="s">
        <v>218</v>
      </c>
      <c r="Q21" t="s">
        <v>91</v>
      </c>
      <c r="V21">
        <v>0</v>
      </c>
      <c r="W21">
        <v>4</v>
      </c>
      <c r="X21">
        <v>4</v>
      </c>
      <c r="Y21">
        <v>10</v>
      </c>
      <c r="Z21">
        <v>40.498465899996503</v>
      </c>
      <c r="AI21">
        <v>40.4900620999978</v>
      </c>
      <c r="AJ21">
        <v>40.498465899996503</v>
      </c>
      <c r="AK21">
        <v>40.498465899996503</v>
      </c>
      <c r="AL21">
        <v>40.498465899996503</v>
      </c>
      <c r="AM21">
        <v>3.1171999944490298E-3</v>
      </c>
      <c r="AN21">
        <v>47.633142699996803</v>
      </c>
      <c r="AO21" t="s">
        <v>72</v>
      </c>
      <c r="AP21" t="s">
        <v>213</v>
      </c>
      <c r="AQ21" t="s">
        <v>128</v>
      </c>
      <c r="AR21" t="s">
        <v>88</v>
      </c>
      <c r="AS21" t="s">
        <v>89</v>
      </c>
      <c r="AT21" t="s">
        <v>89</v>
      </c>
      <c r="AU21" t="s">
        <v>218</v>
      </c>
      <c r="AV21" t="s">
        <v>91</v>
      </c>
      <c r="AW21">
        <v>1</v>
      </c>
      <c r="AX21">
        <v>1</v>
      </c>
      <c r="AY21" t="s">
        <v>211</v>
      </c>
      <c r="AZ21" t="s">
        <v>58</v>
      </c>
      <c r="BB21" t="s">
        <v>59</v>
      </c>
      <c r="BC21">
        <v>120.237974999496</v>
      </c>
      <c r="BD21" t="s">
        <v>212</v>
      </c>
    </row>
    <row r="22" spans="2:56" x14ac:dyDescent="0.3">
      <c r="B22">
        <v>5</v>
      </c>
      <c r="C22">
        <v>5</v>
      </c>
      <c r="D22">
        <v>0</v>
      </c>
      <c r="G22" t="s">
        <v>124</v>
      </c>
      <c r="H22" t="s">
        <v>62</v>
      </c>
      <c r="I22" t="s">
        <v>76</v>
      </c>
      <c r="K22" t="s">
        <v>213</v>
      </c>
      <c r="L22" t="s">
        <v>128</v>
      </c>
      <c r="M22" t="s">
        <v>88</v>
      </c>
      <c r="N22" t="s">
        <v>89</v>
      </c>
      <c r="O22" t="s">
        <v>89</v>
      </c>
      <c r="P22" t="s">
        <v>219</v>
      </c>
      <c r="Q22" t="s">
        <v>91</v>
      </c>
      <c r="V22">
        <v>0</v>
      </c>
      <c r="W22">
        <v>5</v>
      </c>
      <c r="X22">
        <v>5</v>
      </c>
      <c r="Y22">
        <v>12</v>
      </c>
      <c r="Z22">
        <v>47.646074199998097</v>
      </c>
      <c r="AI22">
        <v>47.637148699999599</v>
      </c>
      <c r="AJ22">
        <v>47.646074199998097</v>
      </c>
      <c r="AK22">
        <v>47.646074199998097</v>
      </c>
      <c r="AL22">
        <v>47.646074199998097</v>
      </c>
      <c r="AM22">
        <v>3.8046999979997002E-3</v>
      </c>
      <c r="AN22">
        <v>69.361367099998404</v>
      </c>
      <c r="AP22" t="s">
        <v>213</v>
      </c>
      <c r="AQ22" t="s">
        <v>128</v>
      </c>
      <c r="AR22" t="s">
        <v>88</v>
      </c>
      <c r="AS22" t="s">
        <v>89</v>
      </c>
      <c r="AT22" t="s">
        <v>89</v>
      </c>
      <c r="AU22" t="s">
        <v>219</v>
      </c>
      <c r="AV22" t="s">
        <v>91</v>
      </c>
      <c r="AW22">
        <v>1</v>
      </c>
      <c r="AX22">
        <v>1</v>
      </c>
      <c r="AY22" t="s">
        <v>211</v>
      </c>
      <c r="AZ22" t="s">
        <v>58</v>
      </c>
      <c r="BB22" t="s">
        <v>59</v>
      </c>
      <c r="BC22">
        <v>120.237974999496</v>
      </c>
      <c r="BD22" t="s">
        <v>212</v>
      </c>
    </row>
    <row r="23" spans="2:56" x14ac:dyDescent="0.3">
      <c r="B23">
        <v>6</v>
      </c>
      <c r="C23">
        <v>6</v>
      </c>
      <c r="D23">
        <v>0</v>
      </c>
      <c r="G23" t="s">
        <v>83</v>
      </c>
      <c r="H23" t="s">
        <v>84</v>
      </c>
      <c r="I23" t="s">
        <v>85</v>
      </c>
      <c r="J23" t="s">
        <v>84</v>
      </c>
      <c r="K23" t="s">
        <v>213</v>
      </c>
      <c r="L23" t="s">
        <v>128</v>
      </c>
      <c r="M23" t="s">
        <v>88</v>
      </c>
      <c r="N23" t="s">
        <v>89</v>
      </c>
      <c r="O23" t="s">
        <v>89</v>
      </c>
      <c r="P23" t="s">
        <v>220</v>
      </c>
      <c r="Q23" t="s">
        <v>91</v>
      </c>
      <c r="V23">
        <v>0</v>
      </c>
      <c r="W23">
        <v>6</v>
      </c>
      <c r="X23">
        <v>6</v>
      </c>
      <c r="Y23">
        <v>15</v>
      </c>
      <c r="Z23">
        <v>69.369889099994893</v>
      </c>
      <c r="AI23">
        <v>69.363806099994605</v>
      </c>
      <c r="AJ23">
        <v>69.369889099994893</v>
      </c>
      <c r="AK23">
        <v>69.369889099994893</v>
      </c>
      <c r="AL23">
        <v>69.369889099994893</v>
      </c>
      <c r="AM23">
        <v>2.3185999962151899E-3</v>
      </c>
      <c r="AN23">
        <v>73.977615699994203</v>
      </c>
      <c r="AO23" t="s">
        <v>84</v>
      </c>
      <c r="AP23" t="s">
        <v>213</v>
      </c>
      <c r="AQ23" t="s">
        <v>128</v>
      </c>
      <c r="AR23" t="s">
        <v>88</v>
      </c>
      <c r="AS23" t="s">
        <v>89</v>
      </c>
      <c r="AT23" t="s">
        <v>89</v>
      </c>
      <c r="AU23" t="s">
        <v>220</v>
      </c>
      <c r="AV23" t="s">
        <v>91</v>
      </c>
      <c r="AW23">
        <v>1</v>
      </c>
      <c r="AX23">
        <v>1</v>
      </c>
      <c r="AY23" t="s">
        <v>211</v>
      </c>
      <c r="AZ23" t="s">
        <v>58</v>
      </c>
      <c r="BB23" t="s">
        <v>59</v>
      </c>
      <c r="BC23">
        <v>120.237974999496</v>
      </c>
      <c r="BD23" t="s">
        <v>212</v>
      </c>
    </row>
    <row r="24" spans="2:56" x14ac:dyDescent="0.3">
      <c r="B24">
        <v>7</v>
      </c>
      <c r="C24">
        <v>7</v>
      </c>
      <c r="D24">
        <v>0</v>
      </c>
      <c r="G24" t="s">
        <v>135</v>
      </c>
      <c r="H24" t="s">
        <v>67</v>
      </c>
      <c r="I24" t="s">
        <v>76</v>
      </c>
      <c r="J24" t="s">
        <v>67</v>
      </c>
      <c r="K24" t="s">
        <v>213</v>
      </c>
      <c r="L24" t="s">
        <v>128</v>
      </c>
      <c r="M24" t="s">
        <v>88</v>
      </c>
      <c r="N24" t="s">
        <v>89</v>
      </c>
      <c r="O24" t="s">
        <v>89</v>
      </c>
      <c r="P24" t="s">
        <v>221</v>
      </c>
      <c r="Q24" t="s">
        <v>91</v>
      </c>
      <c r="V24">
        <v>0</v>
      </c>
      <c r="W24">
        <v>7</v>
      </c>
      <c r="X24">
        <v>7</v>
      </c>
      <c r="Y24">
        <v>11</v>
      </c>
      <c r="Z24">
        <v>73.985876200000305</v>
      </c>
      <c r="AI24">
        <v>73.9800223999991</v>
      </c>
      <c r="AJ24">
        <v>73.985876200000305</v>
      </c>
      <c r="AK24">
        <v>73.985876200000305</v>
      </c>
      <c r="AL24">
        <v>73.985876200000305</v>
      </c>
      <c r="AM24">
        <v>2.3209999999380601E-3</v>
      </c>
      <c r="AN24">
        <v>76.341371499998701</v>
      </c>
      <c r="AO24" t="s">
        <v>67</v>
      </c>
      <c r="AP24" t="s">
        <v>213</v>
      </c>
      <c r="AQ24" t="s">
        <v>128</v>
      </c>
      <c r="AR24" t="s">
        <v>88</v>
      </c>
      <c r="AS24" t="s">
        <v>89</v>
      </c>
      <c r="AT24" t="s">
        <v>89</v>
      </c>
      <c r="AU24" t="s">
        <v>221</v>
      </c>
      <c r="AV24" t="s">
        <v>91</v>
      </c>
      <c r="AW24">
        <v>1</v>
      </c>
      <c r="AX24">
        <v>1</v>
      </c>
      <c r="AY24" t="s">
        <v>211</v>
      </c>
      <c r="AZ24" t="s">
        <v>58</v>
      </c>
      <c r="BB24" t="s">
        <v>59</v>
      </c>
      <c r="BC24">
        <v>120.237974999496</v>
      </c>
      <c r="BD24" t="s">
        <v>212</v>
      </c>
    </row>
    <row r="25" spans="2:56" x14ac:dyDescent="0.3">
      <c r="B25">
        <v>8</v>
      </c>
      <c r="C25">
        <v>8</v>
      </c>
      <c r="D25">
        <v>0</v>
      </c>
      <c r="G25" t="s">
        <v>94</v>
      </c>
      <c r="H25" t="s">
        <v>95</v>
      </c>
      <c r="I25" t="s">
        <v>85</v>
      </c>
      <c r="J25" t="s">
        <v>95</v>
      </c>
      <c r="K25" t="s">
        <v>213</v>
      </c>
      <c r="L25" t="s">
        <v>128</v>
      </c>
      <c r="M25" t="s">
        <v>88</v>
      </c>
      <c r="N25" t="s">
        <v>89</v>
      </c>
      <c r="O25" t="s">
        <v>89</v>
      </c>
      <c r="P25" t="s">
        <v>222</v>
      </c>
      <c r="Q25" t="s">
        <v>91</v>
      </c>
      <c r="V25">
        <v>0</v>
      </c>
      <c r="W25">
        <v>8</v>
      </c>
      <c r="X25">
        <v>8</v>
      </c>
      <c r="Y25">
        <v>17</v>
      </c>
      <c r="Z25">
        <v>76.357436699996398</v>
      </c>
      <c r="AI25">
        <v>76.349367899994803</v>
      </c>
      <c r="AJ25">
        <v>76.357436699996398</v>
      </c>
      <c r="AK25">
        <v>76.357436699996398</v>
      </c>
      <c r="AL25">
        <v>76.357436699996398</v>
      </c>
      <c r="AM25">
        <v>7.8028000061749403E-3</v>
      </c>
      <c r="AN25">
        <v>79.376078999994206</v>
      </c>
      <c r="AO25" t="s">
        <v>95</v>
      </c>
      <c r="AP25" t="s">
        <v>213</v>
      </c>
      <c r="AQ25" t="s">
        <v>128</v>
      </c>
      <c r="AR25" t="s">
        <v>88</v>
      </c>
      <c r="AS25" t="s">
        <v>89</v>
      </c>
      <c r="AT25" t="s">
        <v>89</v>
      </c>
      <c r="AU25" t="s">
        <v>222</v>
      </c>
      <c r="AV25" t="s">
        <v>91</v>
      </c>
      <c r="AW25">
        <v>1</v>
      </c>
      <c r="AX25">
        <v>1</v>
      </c>
      <c r="AY25" t="s">
        <v>211</v>
      </c>
      <c r="AZ25" t="s">
        <v>58</v>
      </c>
      <c r="BB25" t="s">
        <v>59</v>
      </c>
      <c r="BC25">
        <v>120.237974999496</v>
      </c>
      <c r="BD25" t="s">
        <v>212</v>
      </c>
    </row>
    <row r="26" spans="2:56" x14ac:dyDescent="0.3">
      <c r="B26">
        <v>9</v>
      </c>
      <c r="C26">
        <v>9</v>
      </c>
      <c r="D26">
        <v>0</v>
      </c>
      <c r="G26" t="s">
        <v>97</v>
      </c>
      <c r="H26" t="s">
        <v>70</v>
      </c>
      <c r="I26" t="s">
        <v>76</v>
      </c>
      <c r="J26" t="s">
        <v>70</v>
      </c>
      <c r="K26" t="s">
        <v>213</v>
      </c>
      <c r="L26" t="s">
        <v>128</v>
      </c>
      <c r="M26" t="s">
        <v>88</v>
      </c>
      <c r="N26" t="s">
        <v>89</v>
      </c>
      <c r="O26" t="s">
        <v>89</v>
      </c>
      <c r="P26" t="s">
        <v>223</v>
      </c>
      <c r="Q26" t="s">
        <v>91</v>
      </c>
      <c r="V26">
        <v>0</v>
      </c>
      <c r="W26">
        <v>9</v>
      </c>
      <c r="X26">
        <v>9</v>
      </c>
      <c r="Y26">
        <v>14</v>
      </c>
      <c r="Z26">
        <v>79.388871899995095</v>
      </c>
      <c r="AI26">
        <v>79.3799590999988</v>
      </c>
      <c r="AJ26">
        <v>79.388871899995095</v>
      </c>
      <c r="AK26">
        <v>79.388871899995095</v>
      </c>
      <c r="AL26">
        <v>79.388871899995095</v>
      </c>
      <c r="AM26">
        <v>3.7311999985831699E-3</v>
      </c>
      <c r="AN26">
        <v>83.586577899994097</v>
      </c>
      <c r="AO26" t="s">
        <v>70</v>
      </c>
      <c r="AP26" t="s">
        <v>213</v>
      </c>
      <c r="AQ26" t="s">
        <v>128</v>
      </c>
      <c r="AR26" t="s">
        <v>88</v>
      </c>
      <c r="AS26" t="s">
        <v>89</v>
      </c>
      <c r="AT26" t="s">
        <v>89</v>
      </c>
      <c r="AU26" t="s">
        <v>223</v>
      </c>
      <c r="AV26" t="s">
        <v>91</v>
      </c>
      <c r="AW26">
        <v>1</v>
      </c>
      <c r="AX26">
        <v>1</v>
      </c>
      <c r="AY26" t="s">
        <v>211</v>
      </c>
      <c r="AZ26" t="s">
        <v>58</v>
      </c>
      <c r="BB26" t="s">
        <v>59</v>
      </c>
      <c r="BC26">
        <v>120.237974999496</v>
      </c>
      <c r="BD26" t="s">
        <v>212</v>
      </c>
    </row>
    <row r="27" spans="2:56" x14ac:dyDescent="0.3">
      <c r="B27">
        <v>10</v>
      </c>
      <c r="C27">
        <v>10</v>
      </c>
      <c r="D27">
        <v>0</v>
      </c>
      <c r="G27" t="s">
        <v>137</v>
      </c>
      <c r="H27" t="s">
        <v>55</v>
      </c>
      <c r="I27" t="s">
        <v>76</v>
      </c>
      <c r="J27" t="s">
        <v>203</v>
      </c>
      <c r="K27" t="s">
        <v>213</v>
      </c>
      <c r="L27" t="s">
        <v>128</v>
      </c>
      <c r="M27" t="s">
        <v>88</v>
      </c>
      <c r="N27" t="s">
        <v>89</v>
      </c>
      <c r="O27" t="s">
        <v>89</v>
      </c>
      <c r="P27" t="s">
        <v>224</v>
      </c>
      <c r="Q27" t="s">
        <v>91</v>
      </c>
      <c r="V27">
        <v>0</v>
      </c>
      <c r="W27">
        <v>10</v>
      </c>
      <c r="X27">
        <v>10</v>
      </c>
      <c r="Y27">
        <v>3</v>
      </c>
      <c r="Z27">
        <v>83.599593099999694</v>
      </c>
      <c r="AI27">
        <v>83.590462199994306</v>
      </c>
      <c r="AJ27">
        <v>83.599593099999694</v>
      </c>
      <c r="AK27">
        <v>83.599593099999694</v>
      </c>
      <c r="AL27">
        <v>83.599593099999694</v>
      </c>
      <c r="AM27">
        <v>3.76970000070286E-3</v>
      </c>
      <c r="AN27">
        <v>94.167070999996199</v>
      </c>
      <c r="AO27" t="s">
        <v>203</v>
      </c>
      <c r="AP27" t="s">
        <v>213</v>
      </c>
      <c r="AQ27" t="s">
        <v>128</v>
      </c>
      <c r="AR27" t="s">
        <v>88</v>
      </c>
      <c r="AS27" t="s">
        <v>89</v>
      </c>
      <c r="AT27" t="s">
        <v>89</v>
      </c>
      <c r="AU27" t="s">
        <v>224</v>
      </c>
      <c r="AV27" t="s">
        <v>91</v>
      </c>
      <c r="AW27">
        <v>1</v>
      </c>
      <c r="AX27">
        <v>1</v>
      </c>
      <c r="AY27" t="s">
        <v>211</v>
      </c>
      <c r="AZ27" t="s">
        <v>58</v>
      </c>
      <c r="BB27" t="s">
        <v>59</v>
      </c>
      <c r="BC27">
        <v>120.237974999496</v>
      </c>
      <c r="BD27" t="s">
        <v>212</v>
      </c>
    </row>
    <row r="28" spans="2:56" x14ac:dyDescent="0.3">
      <c r="B28">
        <v>11</v>
      </c>
      <c r="C28">
        <v>11</v>
      </c>
      <c r="D28">
        <v>0</v>
      </c>
      <c r="G28" t="s">
        <v>126</v>
      </c>
      <c r="H28" t="s">
        <v>73</v>
      </c>
      <c r="I28" t="s">
        <v>76</v>
      </c>
      <c r="J28" t="s">
        <v>73</v>
      </c>
      <c r="K28" t="s">
        <v>213</v>
      </c>
      <c r="L28" t="s">
        <v>128</v>
      </c>
      <c r="M28" t="s">
        <v>88</v>
      </c>
      <c r="N28" t="s">
        <v>89</v>
      </c>
      <c r="O28" t="s">
        <v>89</v>
      </c>
      <c r="P28" t="s">
        <v>225</v>
      </c>
      <c r="Q28" t="s">
        <v>91</v>
      </c>
      <c r="V28">
        <v>0</v>
      </c>
      <c r="W28">
        <v>11</v>
      </c>
      <c r="X28">
        <v>11</v>
      </c>
      <c r="Y28">
        <v>8</v>
      </c>
      <c r="Z28">
        <v>94.179498599994901</v>
      </c>
      <c r="AI28">
        <v>94.170117699999494</v>
      </c>
      <c r="AJ28">
        <v>94.179498599994901</v>
      </c>
      <c r="AK28">
        <v>94.179498599994901</v>
      </c>
      <c r="AL28">
        <v>94.179498599994901</v>
      </c>
      <c r="AM28">
        <v>2.89250000059837E-3</v>
      </c>
      <c r="AN28">
        <v>95.905701599993293</v>
      </c>
      <c r="AO28" t="s">
        <v>73</v>
      </c>
      <c r="AP28" t="s">
        <v>213</v>
      </c>
      <c r="AQ28" t="s">
        <v>128</v>
      </c>
      <c r="AR28" t="s">
        <v>88</v>
      </c>
      <c r="AS28" t="s">
        <v>89</v>
      </c>
      <c r="AT28" t="s">
        <v>89</v>
      </c>
      <c r="AU28" t="s">
        <v>225</v>
      </c>
      <c r="AV28" t="s">
        <v>91</v>
      </c>
      <c r="AW28">
        <v>1</v>
      </c>
      <c r="AX28">
        <v>1</v>
      </c>
      <c r="AY28" t="s">
        <v>211</v>
      </c>
      <c r="AZ28" t="s">
        <v>58</v>
      </c>
      <c r="BB28" t="s">
        <v>59</v>
      </c>
      <c r="BC28">
        <v>120.237974999496</v>
      </c>
      <c r="BD28" t="s">
        <v>212</v>
      </c>
    </row>
    <row r="29" spans="2:56" x14ac:dyDescent="0.3">
      <c r="B29">
        <v>12</v>
      </c>
      <c r="C29">
        <v>12</v>
      </c>
      <c r="D29">
        <v>0</v>
      </c>
      <c r="G29" t="s">
        <v>115</v>
      </c>
      <c r="H29" t="s">
        <v>61</v>
      </c>
      <c r="I29" t="s">
        <v>76</v>
      </c>
      <c r="J29" t="s">
        <v>61</v>
      </c>
      <c r="K29" t="s">
        <v>213</v>
      </c>
      <c r="L29" t="s">
        <v>128</v>
      </c>
      <c r="M29" t="s">
        <v>88</v>
      </c>
      <c r="N29" t="s">
        <v>89</v>
      </c>
      <c r="O29" t="s">
        <v>89</v>
      </c>
      <c r="P29" t="s">
        <v>226</v>
      </c>
      <c r="Q29" t="s">
        <v>91</v>
      </c>
      <c r="V29">
        <v>0</v>
      </c>
      <c r="W29">
        <v>12</v>
      </c>
      <c r="X29">
        <v>12</v>
      </c>
      <c r="Y29">
        <v>7</v>
      </c>
      <c r="Z29">
        <v>95.918729899996805</v>
      </c>
      <c r="AI29">
        <v>95.909869599999993</v>
      </c>
      <c r="AJ29">
        <v>95.918729899996805</v>
      </c>
      <c r="AK29">
        <v>95.918729899996805</v>
      </c>
      <c r="AL29">
        <v>95.918729899996805</v>
      </c>
      <c r="AM29">
        <v>4.04490000073565E-3</v>
      </c>
      <c r="AN29">
        <v>98.907884000000195</v>
      </c>
      <c r="AO29" t="s">
        <v>61</v>
      </c>
      <c r="AP29" t="s">
        <v>213</v>
      </c>
      <c r="AQ29" t="s">
        <v>128</v>
      </c>
      <c r="AR29" t="s">
        <v>88</v>
      </c>
      <c r="AS29" t="s">
        <v>89</v>
      </c>
      <c r="AT29" t="s">
        <v>89</v>
      </c>
      <c r="AU29" t="s">
        <v>226</v>
      </c>
      <c r="AV29" t="s">
        <v>91</v>
      </c>
      <c r="AW29">
        <v>1</v>
      </c>
      <c r="AX29">
        <v>1</v>
      </c>
      <c r="AY29" t="s">
        <v>211</v>
      </c>
      <c r="AZ29" t="s">
        <v>58</v>
      </c>
      <c r="BB29" t="s">
        <v>59</v>
      </c>
      <c r="BC29">
        <v>120.237974999496</v>
      </c>
      <c r="BD29" t="s">
        <v>212</v>
      </c>
    </row>
    <row r="30" spans="2:56" x14ac:dyDescent="0.3">
      <c r="B30">
        <v>13</v>
      </c>
      <c r="C30">
        <v>13</v>
      </c>
      <c r="D30">
        <v>0</v>
      </c>
      <c r="G30" t="s">
        <v>101</v>
      </c>
      <c r="H30" t="s">
        <v>69</v>
      </c>
      <c r="I30" t="s">
        <v>76</v>
      </c>
      <c r="J30" t="s">
        <v>69</v>
      </c>
      <c r="K30" t="s">
        <v>213</v>
      </c>
      <c r="L30" t="s">
        <v>128</v>
      </c>
      <c r="M30" t="s">
        <v>88</v>
      </c>
      <c r="N30" t="s">
        <v>89</v>
      </c>
      <c r="O30" t="s">
        <v>89</v>
      </c>
      <c r="P30" t="s">
        <v>227</v>
      </c>
      <c r="Q30" t="s">
        <v>91</v>
      </c>
      <c r="V30">
        <v>0</v>
      </c>
      <c r="W30">
        <v>13</v>
      </c>
      <c r="X30">
        <v>13</v>
      </c>
      <c r="Y30">
        <v>9</v>
      </c>
      <c r="Z30">
        <v>98.919111799994397</v>
      </c>
      <c r="AI30">
        <v>98.911167399994099</v>
      </c>
      <c r="AJ30">
        <v>98.919111799994397</v>
      </c>
      <c r="AK30">
        <v>98.919111799994397</v>
      </c>
      <c r="AL30">
        <v>98.919111799994397</v>
      </c>
      <c r="AM30">
        <v>3.1167000051937001E-3</v>
      </c>
      <c r="AN30">
        <v>101.495490899993</v>
      </c>
      <c r="AO30" t="s">
        <v>69</v>
      </c>
      <c r="AP30" t="s">
        <v>213</v>
      </c>
      <c r="AQ30" t="s">
        <v>128</v>
      </c>
      <c r="AR30" t="s">
        <v>88</v>
      </c>
      <c r="AS30" t="s">
        <v>89</v>
      </c>
      <c r="AT30" t="s">
        <v>89</v>
      </c>
      <c r="AU30" t="s">
        <v>227</v>
      </c>
      <c r="AV30" t="s">
        <v>91</v>
      </c>
      <c r="AW30">
        <v>1</v>
      </c>
      <c r="AX30">
        <v>1</v>
      </c>
      <c r="AY30" t="s">
        <v>211</v>
      </c>
      <c r="AZ30" t="s">
        <v>58</v>
      </c>
      <c r="BB30" t="s">
        <v>59</v>
      </c>
      <c r="BC30">
        <v>120.237974999496</v>
      </c>
      <c r="BD30" t="s">
        <v>212</v>
      </c>
    </row>
    <row r="31" spans="2:56" x14ac:dyDescent="0.3">
      <c r="B31">
        <v>14</v>
      </c>
      <c r="C31">
        <v>14</v>
      </c>
      <c r="D31">
        <v>0</v>
      </c>
      <c r="G31" t="s">
        <v>130</v>
      </c>
      <c r="H31" t="s">
        <v>131</v>
      </c>
      <c r="I31" t="s">
        <v>85</v>
      </c>
      <c r="J31" t="s">
        <v>131</v>
      </c>
      <c r="K31" t="s">
        <v>213</v>
      </c>
      <c r="L31" t="s">
        <v>128</v>
      </c>
      <c r="M31" t="s">
        <v>88</v>
      </c>
      <c r="N31" t="s">
        <v>89</v>
      </c>
      <c r="O31" t="s">
        <v>89</v>
      </c>
      <c r="P31" t="s">
        <v>228</v>
      </c>
      <c r="Q31" t="s">
        <v>91</v>
      </c>
      <c r="V31">
        <v>0</v>
      </c>
      <c r="W31">
        <v>14</v>
      </c>
      <c r="X31">
        <v>14</v>
      </c>
      <c r="Y31">
        <v>16</v>
      </c>
      <c r="Z31">
        <v>101.507297999996</v>
      </c>
      <c r="AI31">
        <v>101.498911599999</v>
      </c>
      <c r="AJ31">
        <v>101.507297999996</v>
      </c>
      <c r="AK31">
        <v>101.507297999996</v>
      </c>
      <c r="AL31">
        <v>101.507297999996</v>
      </c>
      <c r="AM31">
        <v>3.2501000023330501E-3</v>
      </c>
      <c r="AN31">
        <v>104.017200199996</v>
      </c>
      <c r="AO31" t="s">
        <v>131</v>
      </c>
      <c r="AP31" t="s">
        <v>213</v>
      </c>
      <c r="AQ31" t="s">
        <v>128</v>
      </c>
      <c r="AR31" t="s">
        <v>88</v>
      </c>
      <c r="AS31" t="s">
        <v>89</v>
      </c>
      <c r="AT31" t="s">
        <v>89</v>
      </c>
      <c r="AU31" t="s">
        <v>228</v>
      </c>
      <c r="AV31" t="s">
        <v>91</v>
      </c>
      <c r="AW31">
        <v>1</v>
      </c>
      <c r="AX31">
        <v>1</v>
      </c>
      <c r="AY31" t="s">
        <v>211</v>
      </c>
      <c r="AZ31" t="s">
        <v>58</v>
      </c>
      <c r="BB31" t="s">
        <v>59</v>
      </c>
      <c r="BC31">
        <v>120.237974999496</v>
      </c>
      <c r="BD31" t="s">
        <v>212</v>
      </c>
    </row>
    <row r="32" spans="2:56" x14ac:dyDescent="0.3">
      <c r="B32">
        <v>15</v>
      </c>
      <c r="C32">
        <v>15</v>
      </c>
      <c r="D32">
        <v>0</v>
      </c>
      <c r="G32" t="s">
        <v>103</v>
      </c>
      <c r="H32" t="s">
        <v>63</v>
      </c>
      <c r="I32" t="s">
        <v>76</v>
      </c>
      <c r="J32" t="s">
        <v>63</v>
      </c>
      <c r="K32" t="s">
        <v>213</v>
      </c>
      <c r="L32" t="s">
        <v>128</v>
      </c>
      <c r="M32" t="s">
        <v>88</v>
      </c>
      <c r="N32" t="s">
        <v>89</v>
      </c>
      <c r="O32" t="s">
        <v>89</v>
      </c>
      <c r="P32" t="s">
        <v>229</v>
      </c>
      <c r="Q32" t="s">
        <v>91</v>
      </c>
      <c r="V32">
        <v>0</v>
      </c>
      <c r="W32">
        <v>15</v>
      </c>
      <c r="X32">
        <v>15</v>
      </c>
      <c r="Y32">
        <v>1</v>
      </c>
      <c r="Z32">
        <v>104.030324199993</v>
      </c>
      <c r="AI32">
        <v>104.022199499995</v>
      </c>
      <c r="AJ32">
        <v>104.030324199993</v>
      </c>
      <c r="AK32">
        <v>104.030324199993</v>
      </c>
      <c r="AL32">
        <v>104.030324199993</v>
      </c>
      <c r="AM32">
        <v>4.8609000004944296E-3</v>
      </c>
      <c r="AN32">
        <v>106.594902599994</v>
      </c>
      <c r="AO32" t="s">
        <v>63</v>
      </c>
      <c r="AP32" t="s">
        <v>213</v>
      </c>
      <c r="AQ32" t="s">
        <v>128</v>
      </c>
      <c r="AR32" t="s">
        <v>88</v>
      </c>
      <c r="AS32" t="s">
        <v>89</v>
      </c>
      <c r="AT32" t="s">
        <v>89</v>
      </c>
      <c r="AU32" t="s">
        <v>229</v>
      </c>
      <c r="AV32" t="s">
        <v>91</v>
      </c>
      <c r="AW32">
        <v>1</v>
      </c>
      <c r="AX32">
        <v>1</v>
      </c>
      <c r="AY32" t="s">
        <v>211</v>
      </c>
      <c r="AZ32" t="s">
        <v>58</v>
      </c>
      <c r="BB32" t="s">
        <v>59</v>
      </c>
      <c r="BC32">
        <v>120.237974999496</v>
      </c>
      <c r="BD32" t="s">
        <v>212</v>
      </c>
    </row>
    <row r="33" spans="2:56" x14ac:dyDescent="0.3">
      <c r="B33">
        <v>16</v>
      </c>
      <c r="C33">
        <v>16</v>
      </c>
      <c r="D33">
        <v>0</v>
      </c>
      <c r="G33" t="s">
        <v>112</v>
      </c>
      <c r="H33" t="s">
        <v>113</v>
      </c>
      <c r="I33" t="s">
        <v>76</v>
      </c>
      <c r="J33" t="s">
        <v>113</v>
      </c>
      <c r="K33" t="s">
        <v>213</v>
      </c>
      <c r="L33" t="s">
        <v>128</v>
      </c>
      <c r="M33" t="s">
        <v>88</v>
      </c>
      <c r="N33" t="s">
        <v>89</v>
      </c>
      <c r="O33" t="s">
        <v>89</v>
      </c>
      <c r="P33" t="s">
        <v>230</v>
      </c>
      <c r="Q33" t="s">
        <v>91</v>
      </c>
      <c r="V33">
        <v>0</v>
      </c>
      <c r="W33">
        <v>16</v>
      </c>
      <c r="X33">
        <v>16</v>
      </c>
      <c r="Y33">
        <v>2</v>
      </c>
      <c r="Z33">
        <v>106.607917899993</v>
      </c>
      <c r="AI33">
        <v>106.598370599997</v>
      </c>
      <c r="AJ33">
        <v>106.607917899993</v>
      </c>
      <c r="AK33">
        <v>106.607917899993</v>
      </c>
      <c r="AL33">
        <v>106.607917899993</v>
      </c>
      <c r="AM33">
        <v>3.3068999982788201E-3</v>
      </c>
      <c r="AN33">
        <v>108.848645099998</v>
      </c>
      <c r="AO33" t="s">
        <v>113</v>
      </c>
      <c r="AP33" t="s">
        <v>213</v>
      </c>
      <c r="AQ33" t="s">
        <v>128</v>
      </c>
      <c r="AR33" t="s">
        <v>88</v>
      </c>
      <c r="AS33" t="s">
        <v>89</v>
      </c>
      <c r="AT33" t="s">
        <v>89</v>
      </c>
      <c r="AU33" t="s">
        <v>230</v>
      </c>
      <c r="AV33" t="s">
        <v>91</v>
      </c>
      <c r="AW33">
        <v>1</v>
      </c>
      <c r="AX33">
        <v>1</v>
      </c>
      <c r="AY33" t="s">
        <v>211</v>
      </c>
      <c r="AZ33" t="s">
        <v>58</v>
      </c>
      <c r="BB33" t="s">
        <v>59</v>
      </c>
      <c r="BC33">
        <v>120.237974999496</v>
      </c>
      <c r="BD33" t="s">
        <v>212</v>
      </c>
    </row>
    <row r="34" spans="2:56" x14ac:dyDescent="0.3">
      <c r="B34">
        <v>17</v>
      </c>
      <c r="C34">
        <v>17</v>
      </c>
      <c r="D34">
        <v>0</v>
      </c>
      <c r="G34" t="s">
        <v>92</v>
      </c>
      <c r="H34" t="s">
        <v>65</v>
      </c>
      <c r="I34" t="s">
        <v>76</v>
      </c>
      <c r="J34" t="s">
        <v>65</v>
      </c>
      <c r="K34" t="s">
        <v>213</v>
      </c>
      <c r="L34" t="s">
        <v>128</v>
      </c>
      <c r="M34" t="s">
        <v>88</v>
      </c>
      <c r="N34" t="s">
        <v>89</v>
      </c>
      <c r="O34" t="s">
        <v>89</v>
      </c>
      <c r="P34" t="s">
        <v>231</v>
      </c>
      <c r="Q34" t="s">
        <v>91</v>
      </c>
      <c r="V34">
        <v>0</v>
      </c>
      <c r="W34">
        <v>17</v>
      </c>
      <c r="X34">
        <v>17</v>
      </c>
      <c r="Y34">
        <v>6</v>
      </c>
      <c r="Z34">
        <v>108.857061199996</v>
      </c>
      <c r="AI34">
        <v>108.8508411</v>
      </c>
      <c r="AJ34">
        <v>108.857061199996</v>
      </c>
      <c r="AK34">
        <v>108.857061199996</v>
      </c>
      <c r="AL34">
        <v>108.857061199996</v>
      </c>
      <c r="AM34">
        <v>2.1133999980520401E-3</v>
      </c>
      <c r="AN34">
        <v>111.436246699995</v>
      </c>
      <c r="AO34" t="s">
        <v>65</v>
      </c>
      <c r="AP34" t="s">
        <v>213</v>
      </c>
      <c r="AQ34" t="s">
        <v>128</v>
      </c>
      <c r="AR34" t="s">
        <v>88</v>
      </c>
      <c r="AS34" t="s">
        <v>89</v>
      </c>
      <c r="AT34" t="s">
        <v>89</v>
      </c>
      <c r="AU34" t="s">
        <v>231</v>
      </c>
      <c r="AV34" t="s">
        <v>91</v>
      </c>
      <c r="AW34">
        <v>1</v>
      </c>
      <c r="AX34">
        <v>1</v>
      </c>
      <c r="AY34" t="s">
        <v>211</v>
      </c>
      <c r="AZ34" t="s">
        <v>58</v>
      </c>
      <c r="BB34" t="s">
        <v>59</v>
      </c>
      <c r="BC34">
        <v>120.237974999496</v>
      </c>
      <c r="BD34" t="s">
        <v>212</v>
      </c>
    </row>
    <row r="35" spans="2:56" x14ac:dyDescent="0.3">
      <c r="B35">
        <v>18</v>
      </c>
      <c r="C35">
        <v>18</v>
      </c>
      <c r="D35">
        <v>0</v>
      </c>
      <c r="G35" t="s">
        <v>107</v>
      </c>
      <c r="H35" t="s">
        <v>108</v>
      </c>
      <c r="I35" t="s">
        <v>85</v>
      </c>
      <c r="J35" t="s">
        <v>108</v>
      </c>
      <c r="K35" t="s">
        <v>232</v>
      </c>
      <c r="L35" t="s">
        <v>189</v>
      </c>
      <c r="M35" t="s">
        <v>88</v>
      </c>
      <c r="N35" t="s">
        <v>89</v>
      </c>
      <c r="O35" t="s">
        <v>89</v>
      </c>
      <c r="P35" t="s">
        <v>233</v>
      </c>
      <c r="Q35" t="s">
        <v>91</v>
      </c>
      <c r="V35">
        <v>0</v>
      </c>
      <c r="W35">
        <v>18</v>
      </c>
      <c r="X35">
        <v>18</v>
      </c>
      <c r="Y35">
        <v>18</v>
      </c>
      <c r="Z35">
        <v>111.44758229999501</v>
      </c>
      <c r="AI35">
        <v>111.439581799997</v>
      </c>
      <c r="AJ35">
        <v>111.44758229999501</v>
      </c>
      <c r="AK35">
        <v>111.44758229999501</v>
      </c>
      <c r="AL35">
        <v>111.44758229999501</v>
      </c>
      <c r="AM35">
        <v>3.1780999997863498E-3</v>
      </c>
      <c r="AN35">
        <v>114.090939099995</v>
      </c>
      <c r="AO35" t="s">
        <v>108</v>
      </c>
      <c r="AP35" t="s">
        <v>232</v>
      </c>
      <c r="AQ35" t="s">
        <v>189</v>
      </c>
      <c r="AR35" t="s">
        <v>88</v>
      </c>
      <c r="AS35" t="s">
        <v>89</v>
      </c>
      <c r="AT35" t="s">
        <v>89</v>
      </c>
      <c r="AU35" t="s">
        <v>233</v>
      </c>
      <c r="AV35" t="s">
        <v>91</v>
      </c>
      <c r="AW35">
        <v>1</v>
      </c>
      <c r="AX35">
        <v>1</v>
      </c>
      <c r="AY35" t="s">
        <v>211</v>
      </c>
      <c r="AZ35" t="s">
        <v>58</v>
      </c>
      <c r="BB35" t="s">
        <v>59</v>
      </c>
      <c r="BC35">
        <v>120.237974999496</v>
      </c>
      <c r="BD35" t="s">
        <v>212</v>
      </c>
    </row>
    <row r="36" spans="2:56" x14ac:dyDescent="0.3">
      <c r="B36">
        <v>19</v>
      </c>
      <c r="C36">
        <v>19</v>
      </c>
      <c r="D36">
        <v>0</v>
      </c>
      <c r="G36" t="s">
        <v>110</v>
      </c>
      <c r="H36" t="s">
        <v>68</v>
      </c>
      <c r="I36" t="s">
        <v>76</v>
      </c>
      <c r="J36" t="s">
        <v>68</v>
      </c>
      <c r="K36" t="s">
        <v>234</v>
      </c>
      <c r="L36" t="s">
        <v>235</v>
      </c>
      <c r="M36" t="s">
        <v>88</v>
      </c>
      <c r="N36" t="s">
        <v>89</v>
      </c>
      <c r="O36" t="s">
        <v>89</v>
      </c>
      <c r="P36" t="s">
        <v>236</v>
      </c>
      <c r="Q36" t="s">
        <v>91</v>
      </c>
      <c r="V36">
        <v>0</v>
      </c>
      <c r="W36">
        <v>19</v>
      </c>
      <c r="X36">
        <v>19</v>
      </c>
      <c r="Y36">
        <v>5</v>
      </c>
      <c r="Z36">
        <v>114.103340899993</v>
      </c>
      <c r="AI36">
        <v>114.094214599994</v>
      </c>
      <c r="AJ36">
        <v>114.103340899993</v>
      </c>
      <c r="AK36">
        <v>114.103340899993</v>
      </c>
      <c r="AL36">
        <v>114.103340899993</v>
      </c>
      <c r="AM36">
        <v>3.13470000401139E-3</v>
      </c>
      <c r="AN36">
        <v>117.200638899994</v>
      </c>
      <c r="AO36" t="s">
        <v>68</v>
      </c>
      <c r="AP36" t="s">
        <v>234</v>
      </c>
      <c r="AQ36" t="s">
        <v>235</v>
      </c>
      <c r="AR36" t="s">
        <v>88</v>
      </c>
      <c r="AS36" t="s">
        <v>89</v>
      </c>
      <c r="AT36" t="s">
        <v>89</v>
      </c>
      <c r="AU36" t="s">
        <v>236</v>
      </c>
      <c r="AV36" t="s">
        <v>91</v>
      </c>
      <c r="AW36">
        <v>1</v>
      </c>
      <c r="AX36">
        <v>1</v>
      </c>
      <c r="AY36" t="s">
        <v>211</v>
      </c>
      <c r="AZ36" t="s">
        <v>58</v>
      </c>
      <c r="BB36" t="s">
        <v>59</v>
      </c>
      <c r="BC36">
        <v>120.237974999496</v>
      </c>
      <c r="BD36" t="s">
        <v>212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9624-2EA7-4458-B08E-DA95239DA8E3}">
  <dimension ref="A1:H21"/>
  <sheetViews>
    <sheetView workbookViewId="0">
      <selection sqref="A1:H21"/>
    </sheetView>
  </sheetViews>
  <sheetFormatPr defaultRowHeight="14.4" x14ac:dyDescent="0.3"/>
  <sheetData>
    <row r="1" spans="1:8" x14ac:dyDescent="0.3">
      <c r="A1" t="s">
        <v>7</v>
      </c>
      <c r="B1" t="s">
        <v>8</v>
      </c>
      <c r="C1" t="s">
        <v>9</v>
      </c>
      <c r="D1" t="s">
        <v>139</v>
      </c>
      <c r="G1">
        <v>13</v>
      </c>
      <c r="H1">
        <f>G1/15</f>
        <v>0.8666666666666667</v>
      </c>
    </row>
    <row r="2" spans="1:8" x14ac:dyDescent="0.3">
      <c r="A2" t="s">
        <v>71</v>
      </c>
      <c r="B2" t="s">
        <v>76</v>
      </c>
      <c r="C2" t="s">
        <v>71</v>
      </c>
      <c r="D2" t="s">
        <v>140</v>
      </c>
      <c r="G2">
        <v>5</v>
      </c>
      <c r="H2">
        <f>G2/5</f>
        <v>1</v>
      </c>
    </row>
    <row r="3" spans="1:8" x14ac:dyDescent="0.3">
      <c r="A3" t="s">
        <v>64</v>
      </c>
      <c r="B3" t="s">
        <v>76</v>
      </c>
      <c r="C3" t="s">
        <v>64</v>
      </c>
    </row>
    <row r="4" spans="1:8" x14ac:dyDescent="0.3">
      <c r="A4" t="s">
        <v>74</v>
      </c>
      <c r="B4" t="s">
        <v>76</v>
      </c>
      <c r="C4" t="s">
        <v>74</v>
      </c>
      <c r="F4" t="s">
        <v>141</v>
      </c>
      <c r="G4">
        <f>H1-H2</f>
        <v>-0.1333333333333333</v>
      </c>
    </row>
    <row r="5" spans="1:8" x14ac:dyDescent="0.3">
      <c r="A5" t="s">
        <v>120</v>
      </c>
      <c r="B5" t="s">
        <v>85</v>
      </c>
      <c r="C5" s="1" t="s">
        <v>120</v>
      </c>
      <c r="F5" t="s">
        <v>209</v>
      </c>
    </row>
    <row r="6" spans="1:8" x14ac:dyDescent="0.3">
      <c r="A6" t="s">
        <v>72</v>
      </c>
      <c r="B6" t="s">
        <v>76</v>
      </c>
      <c r="C6" t="s">
        <v>72</v>
      </c>
    </row>
    <row r="7" spans="1:8" x14ac:dyDescent="0.3">
      <c r="A7" t="s">
        <v>62</v>
      </c>
      <c r="B7" t="s">
        <v>76</v>
      </c>
    </row>
    <row r="8" spans="1:8" x14ac:dyDescent="0.3">
      <c r="A8" t="s">
        <v>84</v>
      </c>
      <c r="B8" t="s">
        <v>85</v>
      </c>
      <c r="C8" s="1" t="s">
        <v>84</v>
      </c>
    </row>
    <row r="9" spans="1:8" x14ac:dyDescent="0.3">
      <c r="A9" t="s">
        <v>67</v>
      </c>
      <c r="B9" t="s">
        <v>76</v>
      </c>
      <c r="C9" t="s">
        <v>67</v>
      </c>
    </row>
    <row r="10" spans="1:8" x14ac:dyDescent="0.3">
      <c r="A10" t="s">
        <v>95</v>
      </c>
      <c r="B10" t="s">
        <v>85</v>
      </c>
      <c r="C10" s="1" t="s">
        <v>95</v>
      </c>
    </row>
    <row r="11" spans="1:8" x14ac:dyDescent="0.3">
      <c r="A11" t="s">
        <v>70</v>
      </c>
      <c r="B11" t="s">
        <v>76</v>
      </c>
      <c r="C11" t="s">
        <v>70</v>
      </c>
    </row>
    <row r="12" spans="1:8" x14ac:dyDescent="0.3">
      <c r="A12" t="s">
        <v>55</v>
      </c>
      <c r="B12" t="s">
        <v>76</v>
      </c>
      <c r="C12" s="2" t="s">
        <v>203</v>
      </c>
    </row>
    <row r="13" spans="1:8" x14ac:dyDescent="0.3">
      <c r="A13" t="s">
        <v>73</v>
      </c>
      <c r="B13" t="s">
        <v>76</v>
      </c>
      <c r="C13" t="s">
        <v>73</v>
      </c>
    </row>
    <row r="14" spans="1:8" x14ac:dyDescent="0.3">
      <c r="A14" t="s">
        <v>61</v>
      </c>
      <c r="B14" t="s">
        <v>76</v>
      </c>
      <c r="C14" t="s">
        <v>61</v>
      </c>
    </row>
    <row r="15" spans="1:8" x14ac:dyDescent="0.3">
      <c r="A15" t="s">
        <v>69</v>
      </c>
      <c r="B15" t="s">
        <v>76</v>
      </c>
      <c r="C15" t="s">
        <v>69</v>
      </c>
    </row>
    <row r="16" spans="1:8" x14ac:dyDescent="0.3">
      <c r="A16" t="s">
        <v>131</v>
      </c>
      <c r="B16" t="s">
        <v>85</v>
      </c>
      <c r="C16" s="1" t="s">
        <v>131</v>
      </c>
    </row>
    <row r="17" spans="1:3" x14ac:dyDescent="0.3">
      <c r="A17" t="s">
        <v>63</v>
      </c>
      <c r="B17" t="s">
        <v>76</v>
      </c>
      <c r="C17" t="s">
        <v>63</v>
      </c>
    </row>
    <row r="18" spans="1:3" x14ac:dyDescent="0.3">
      <c r="A18" t="s">
        <v>113</v>
      </c>
      <c r="B18" t="s">
        <v>76</v>
      </c>
      <c r="C18" t="s">
        <v>113</v>
      </c>
    </row>
    <row r="19" spans="1:3" x14ac:dyDescent="0.3">
      <c r="A19" t="s">
        <v>65</v>
      </c>
      <c r="B19" t="s">
        <v>76</v>
      </c>
      <c r="C19" t="s">
        <v>65</v>
      </c>
    </row>
    <row r="20" spans="1:3" x14ac:dyDescent="0.3">
      <c r="A20" t="s">
        <v>108</v>
      </c>
      <c r="B20" t="s">
        <v>85</v>
      </c>
      <c r="C20" s="1" t="s">
        <v>108</v>
      </c>
    </row>
    <row r="21" spans="1:3" x14ac:dyDescent="0.3">
      <c r="A21" t="s">
        <v>68</v>
      </c>
      <c r="B21" t="s">
        <v>76</v>
      </c>
      <c r="C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p4_Word Priming_2025-10-16_15h5</vt:lpstr>
      <vt:lpstr>analysis-4</vt:lpstr>
      <vt:lpstr>p3_Word priming_2025-10-16_15h5</vt:lpstr>
      <vt:lpstr>Analysis-3</vt:lpstr>
      <vt:lpstr>2_Word Priming_2025-10-16_15h50</vt:lpstr>
      <vt:lpstr>Analysis-2</vt:lpstr>
      <vt:lpstr>1_Word Priming_2025-10-16_15h50</vt:lpstr>
      <vt:lpstr>Analysis-1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2025-10-16T14:14:44Z</dcterms:created>
  <dcterms:modified xsi:type="dcterms:W3CDTF">2025-10-16T14:30:00Z</dcterms:modified>
</cp:coreProperties>
</file>